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1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56" codeName="{3D1A710C-6663-3D7B-7F91-EC182F24A4B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labuser\Desktop\Plane V3\"/>
    </mc:Choice>
  </mc:AlternateContent>
  <xr:revisionPtr revIDLastSave="0" documentId="13_ncr:1_{7A688B5A-47A4-40B3-979F-C7D19DBD8C0F}" xr6:coauthVersionLast="36" xr6:coauthVersionMax="44" xr10:uidLastSave="{00000000-0000-0000-0000-000000000000}"/>
  <bookViews>
    <workbookView xWindow="0" yWindow="0" windowWidth="28800" windowHeight="14025" tabRatio="813" activeTab="5" xr2:uid="{00000000-000D-0000-FFFF-FFFF00000000}"/>
  </bookViews>
  <sheets>
    <sheet name="Getting Started" sheetId="2" r:id="rId1"/>
    <sheet name="Wings" sheetId="1" r:id="rId2"/>
    <sheet name="H. Stab &amp; Canard" sheetId="3" r:id="rId3"/>
    <sheet name="V. Stab &amp; V-Tail" sheetId="5" r:id="rId4"/>
    <sheet name="Fuselage" sheetId="6" r:id="rId5"/>
    <sheet name="Weights" sheetId="7" r:id="rId6"/>
    <sheet name="Point Masses" sheetId="8" r:id="rId7"/>
    <sheet name="Top View" sheetId="4" r:id="rId8"/>
    <sheet name="Results" sheetId="11" r:id="rId9"/>
    <sheet name="References" sheetId="9" r:id="rId10"/>
  </sheets>
  <functionGroups builtInGroupCount="19"/>
  <externalReferences>
    <externalReference r:id="rId11"/>
  </externalReferences>
  <definedNames>
    <definedName name="_xac1">Results!$G$16</definedName>
    <definedName name="_xac2">Results!$K$16</definedName>
    <definedName name="_xac3">Results!$O$16</definedName>
    <definedName name="auw">Results!$C$8</definedName>
    <definedName name="canard_ac">'H. Stab &amp; Canard'!$D$46</definedName>
    <definedName name="canard_area">'H. Stab &amp; Canard'!$B$47</definedName>
    <definedName name="canard_cx">'H. Stab &amp; Canard'!$B$49</definedName>
    <definedName name="canard_liftslope">'H. Stab &amp; Canard'!$D$50</definedName>
    <definedName name="canard_w">Weights!$B$16</definedName>
    <definedName name="canard_x">Weights!$F$16</definedName>
    <definedName name="canard_y">Weights!$G$16</definedName>
    <definedName name="cgx">Results!$C$4</definedName>
    <definedName name="CLac">Results!$O$28</definedName>
    <definedName name="CLah">Results!$C$30</definedName>
    <definedName name="CLav">Results!$G$33</definedName>
    <definedName name="CLaw1">Results!$G$18</definedName>
    <definedName name="CLaw2">Results!$K$18</definedName>
    <definedName name="CLaw3">Results!$O$18</definedName>
    <definedName name="Cmac">Results!$O$30</definedName>
    <definedName name="Cmaf">Results!$K$28</definedName>
    <definedName name="Cmah">Results!$C$37</definedName>
    <definedName name="Cmav">Results!$G$41</definedName>
    <definedName name="Cmaw1">Results!$G$19</definedName>
    <definedName name="Cmaw2">Results!$K$19</definedName>
    <definedName name="Cmaw3">Results!$O$19</definedName>
    <definedName name="dedah">Results!$C$34</definedName>
    <definedName name="dedav">Results!$G$37</definedName>
    <definedName name="empty_weight">Weights!$D$24</definedName>
    <definedName name="empty_x">Weights!$D$25</definedName>
    <definedName name="empty_y">Weights!$D$26</definedName>
    <definedName name="fuse_area">Fuselage!$H$31</definedName>
    <definedName name="fuse_cx">Fuselage!$H$32</definedName>
    <definedName name="fuse_cy">Fuselage!$H$33</definedName>
    <definedName name="fuse_dcmda">Fuselage!$C$37</definedName>
    <definedName name="fuse_w">Weights!$B$14</definedName>
    <definedName name="fuse_x">Weights!$F$14</definedName>
    <definedName name="fuse_y">Weights!$G$14</definedName>
    <definedName name="hstab_ac">'H. Stab &amp; Canard'!$D$20</definedName>
    <definedName name="hstab_area">'H. Stab &amp; Canard'!$B$21</definedName>
    <definedName name="hstab_cx">'H. Stab &amp; Canard'!$B$23</definedName>
    <definedName name="hstab_liftslope">'H. Stab &amp; Canard'!$D$24</definedName>
    <definedName name="hstab_w">Weights!$B$15</definedName>
    <definedName name="hstab_x">Weights!$F$15</definedName>
    <definedName name="hstab_y">Weights!$G$15</definedName>
    <definedName name="hstab_z">'H. Stab &amp; Canard'!$D$5</definedName>
    <definedName name="neutral_point">Results!$C$6</definedName>
    <definedName name="nh">Results!$C$36</definedName>
    <definedName name="nv">Results!$G$39</definedName>
    <definedName name="point_weight">'Point Masses'!$C$30</definedName>
    <definedName name="point_x">'Point Masses'!$D$30</definedName>
    <definedName name="point_y">'Point Masses'!$E$30</definedName>
    <definedName name="quarter_sweep">Results!$C$22</definedName>
    <definedName name="ref_AC">Results!$C$17</definedName>
    <definedName name="ref_AR">Results!$C$19</definedName>
    <definedName name="ref_lam">Results!$C$20</definedName>
    <definedName name="ref_MAC">Results!$C$16</definedName>
    <definedName name="ref_span">Results!$C$15</definedName>
    <definedName name="static_margin">Results!$C$7</definedName>
    <definedName name="trailing_edge">Results!$C$21</definedName>
    <definedName name="Vc">Results!$O$29</definedName>
    <definedName name="Vh">Results!$C$35</definedName>
    <definedName name="vstab_ac">'V. Stab &amp; V-Tail'!$D$24</definedName>
    <definedName name="vstab_area">'V. Stab &amp; V-Tail'!$B$24</definedName>
    <definedName name="vstab_cx">'V. Stab &amp; V-Tail'!$B$25</definedName>
    <definedName name="vstab_w">Weights!$B$17</definedName>
    <definedName name="vstab_x">Weights!$F$17</definedName>
    <definedName name="vstab_y">Weights!$G$17</definedName>
    <definedName name="vtail_cx">'[1]V. Stab &amp; V-Tail'!$I$42</definedName>
    <definedName name="vtail_harea">'V. Stab &amp; V-Tail'!$B$30</definedName>
    <definedName name="vtail_liftslope">'V. Stab &amp; V-Tail'!$D$30</definedName>
    <definedName name="vtail_varea">'V. Stab &amp; V-Tail'!$B$29</definedName>
    <definedName name="vtail_z">'V. Stab &amp; V-Tail'!$D$25</definedName>
    <definedName name="Vv">Results!$G$38</definedName>
    <definedName name="wing_area">Results!$C$14</definedName>
    <definedName name="wing1_acx">Wings!$D$20</definedName>
    <definedName name="wing1_ar">Wings!$B$22</definedName>
    <definedName name="wing1_area">Wings!$B$21</definedName>
    <definedName name="wing1_cx">Wings!$B$23</definedName>
    <definedName name="wing1_cy">Wings!$B$24</definedName>
    <definedName name="wing1_halfsweep">Wings!$D$21</definedName>
    <definedName name="wing1_lam">Wings!$D$23</definedName>
    <definedName name="wing1_liftslope">Wings!$D$24</definedName>
    <definedName name="wing1_mac">Wings!$B$25</definedName>
    <definedName name="wing1_quartersweep">Wings!$D$22</definedName>
    <definedName name="wing1_rte">Wings!$U$4</definedName>
    <definedName name="wing1_span">Wings!$B$20</definedName>
    <definedName name="wing1_w">Weights!$B$11</definedName>
    <definedName name="wing1_x">Weights!$F$11</definedName>
    <definedName name="wing1_y">Weights!$G$11</definedName>
    <definedName name="wing2_acx">Wings!$D$46</definedName>
    <definedName name="wing2_ar">Wings!$B$48</definedName>
    <definedName name="wing2_area">Wings!$B$47</definedName>
    <definedName name="wing2_cx">Wings!$B$49</definedName>
    <definedName name="wing2_cy">Wings!$B$50</definedName>
    <definedName name="wing2_halfsweep">Wings!$D$47</definedName>
    <definedName name="wing2_height">Wings!$D$31</definedName>
    <definedName name="wing2_lam">Wings!$D$49</definedName>
    <definedName name="wing2_liftslope">Wings!$D$50</definedName>
    <definedName name="wing2_mac">Wings!$B$51</definedName>
    <definedName name="wing2_quartersweep">Wings!$D$48</definedName>
    <definedName name="wing2_rte">Wings!$U$30</definedName>
    <definedName name="wing2_span">Wings!$B$46</definedName>
    <definedName name="wing2_w">Weights!$B$12</definedName>
    <definedName name="wing2_x">Weights!$F$12</definedName>
    <definedName name="wing2_y">Weights!$G$12</definedName>
    <definedName name="wing3_acx">Wings!$D$72</definedName>
    <definedName name="wing3_ar">Wings!$B$74</definedName>
    <definedName name="wing3_area">Wings!$B$73</definedName>
    <definedName name="wing3_cx">Wings!$B$75</definedName>
    <definedName name="wing3_cy">Wings!$B$76</definedName>
    <definedName name="wing3_halfsweep">Wings!$D$73</definedName>
    <definedName name="wing3_height">Wings!$D$57</definedName>
    <definedName name="wing3_lam">Wings!$D$75</definedName>
    <definedName name="wing3_liftslope">Wings!$D$76</definedName>
    <definedName name="wing3_mac">Wings!$B$77</definedName>
    <definedName name="wing3_quartersweep">Wings!$D$74</definedName>
    <definedName name="wing3_rte">Wings!$U$56</definedName>
    <definedName name="wing3_span">Wings!$B$72</definedName>
    <definedName name="wing3_w">Weights!$B$13</definedName>
    <definedName name="wing3_x">Weights!$F$13</definedName>
    <definedName name="wing3_y">Weights!$G$13</definedName>
    <definedName name="z_center">Results!$C$18</definedName>
  </definedNames>
  <calcPr calcId="191029"/>
</workbook>
</file>

<file path=xl/calcChain.xml><?xml version="1.0" encoding="utf-8"?>
<calcChain xmlns="http://schemas.openxmlformats.org/spreadsheetml/2006/main">
  <c r="B11" i="7" l="1"/>
  <c r="C8" i="1" l="1"/>
  <c r="D24" i="7"/>
  <c r="C22" i="11"/>
  <c r="C20" i="11"/>
  <c r="C19" i="11"/>
  <c r="C17" i="11"/>
  <c r="C16" i="11"/>
  <c r="C15" i="11"/>
  <c r="C14" i="11"/>
  <c r="O40" i="11" l="1"/>
  <c r="G14" i="7"/>
  <c r="D26" i="7" s="1"/>
  <c r="F11" i="7"/>
  <c r="F12" i="7"/>
  <c r="F13" i="7"/>
  <c r="F15" i="7"/>
  <c r="F16" i="7"/>
  <c r="F17" i="7"/>
  <c r="F14" i="7"/>
  <c r="U4" i="1"/>
  <c r="C21" i="11" s="1"/>
  <c r="U30" i="1"/>
  <c r="U56" i="1"/>
  <c r="C25" i="11"/>
  <c r="C31" i="11" s="1"/>
  <c r="K18" i="11"/>
  <c r="K16" i="11"/>
  <c r="K13" i="11"/>
  <c r="O13" i="11"/>
  <c r="O16" i="11"/>
  <c r="G13" i="11"/>
  <c r="G16" i="11"/>
  <c r="O18" i="11"/>
  <c r="O25" i="11"/>
  <c r="O28" i="11" s="1"/>
  <c r="G18" i="11"/>
  <c r="G25" i="11"/>
  <c r="G29" i="11" s="1"/>
  <c r="C30" i="11"/>
  <c r="G33" i="11"/>
  <c r="K28" i="11"/>
  <c r="H18" i="2"/>
  <c r="G11" i="7"/>
  <c r="G12" i="7"/>
  <c r="G13" i="7"/>
  <c r="G15" i="7"/>
  <c r="G16" i="7"/>
  <c r="G17" i="7"/>
  <c r="C30" i="8"/>
  <c r="C8" i="11" s="1"/>
  <c r="P39" i="11"/>
  <c r="O39" i="11"/>
  <c r="N39" i="11"/>
  <c r="M39" i="11"/>
  <c r="K31" i="11"/>
  <c r="K32" i="11" s="1"/>
  <c r="C26" i="11"/>
  <c r="G26" i="11"/>
  <c r="K26" i="11"/>
  <c r="K25" i="11"/>
  <c r="K27" i="11"/>
  <c r="O17" i="11"/>
  <c r="O15" i="11"/>
  <c r="O14" i="11"/>
  <c r="K17" i="11"/>
  <c r="K14" i="11"/>
  <c r="K15" i="11"/>
  <c r="G17" i="11"/>
  <c r="G15" i="11"/>
  <c r="G14" i="11"/>
  <c r="G15" i="2"/>
  <c r="H11" i="2"/>
  <c r="H10" i="2"/>
  <c r="H9" i="2"/>
  <c r="G5" i="2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E32" i="6"/>
  <c r="E31" i="6"/>
  <c r="R9" i="6"/>
  <c r="R48" i="6" s="1"/>
  <c r="R10" i="6"/>
  <c r="R47" i="6" s="1"/>
  <c r="R11" i="6"/>
  <c r="R12" i="6" s="1"/>
  <c r="Q9" i="6"/>
  <c r="Q49" i="6" s="1"/>
  <c r="Q10" i="6"/>
  <c r="Q11" i="6"/>
  <c r="Q46" i="6" s="1"/>
  <c r="S4" i="5"/>
  <c r="R19" i="5" s="1"/>
  <c r="AN19" i="5" s="1"/>
  <c r="S5" i="5"/>
  <c r="S6" i="5" s="1"/>
  <c r="R20" i="5"/>
  <c r="S20" i="5" s="1"/>
  <c r="Y4" i="5"/>
  <c r="Y5" i="5"/>
  <c r="Y6" i="5"/>
  <c r="AM20" i="5"/>
  <c r="AM21" i="5" s="1"/>
  <c r="AN20" i="5"/>
  <c r="AN21" i="5" s="1"/>
  <c r="Z6" i="5"/>
  <c r="Z5" i="5"/>
  <c r="Z4" i="5"/>
  <c r="R21" i="5"/>
  <c r="R4" i="5"/>
  <c r="R18" i="5" s="1"/>
  <c r="S30" i="3"/>
  <c r="S31" i="3" s="1"/>
  <c r="S4" i="3"/>
  <c r="S5" i="3" s="1"/>
  <c r="S6" i="3" s="1"/>
  <c r="T19" i="3" s="1"/>
  <c r="T23" i="3" s="1"/>
  <c r="V4" i="5"/>
  <c r="AN18" i="5"/>
  <c r="U4" i="5"/>
  <c r="AM18" i="5" s="1"/>
  <c r="R30" i="3"/>
  <c r="AN44" i="3" s="1"/>
  <c r="AN48" i="3" s="1"/>
  <c r="U30" i="3"/>
  <c r="AM44" i="3" s="1"/>
  <c r="AM48" i="3" s="1"/>
  <c r="R31" i="3"/>
  <c r="U31" i="3" s="1"/>
  <c r="AL44" i="3" s="1"/>
  <c r="AL48" i="3" s="1"/>
  <c r="Z32" i="3"/>
  <c r="Y32" i="3"/>
  <c r="Z31" i="3"/>
  <c r="Y31" i="3"/>
  <c r="Z30" i="3"/>
  <c r="Y30" i="3"/>
  <c r="R4" i="3"/>
  <c r="AN18" i="3" s="1"/>
  <c r="AN22" i="3" s="1"/>
  <c r="U4" i="3"/>
  <c r="AM18" i="3" s="1"/>
  <c r="AM22" i="3" s="1"/>
  <c r="R18" i="3"/>
  <c r="R22" i="3" s="1"/>
  <c r="Z6" i="3"/>
  <c r="Y6" i="3"/>
  <c r="Z5" i="3"/>
  <c r="Y5" i="3"/>
  <c r="Z4" i="3"/>
  <c r="Y4" i="3"/>
  <c r="Z58" i="1"/>
  <c r="Y58" i="1"/>
  <c r="Z57" i="1"/>
  <c r="Y57" i="1"/>
  <c r="Z56" i="1"/>
  <c r="Y56" i="1"/>
  <c r="Z32" i="1"/>
  <c r="Y32" i="1"/>
  <c r="Z31" i="1"/>
  <c r="Y31" i="1"/>
  <c r="Z30" i="1"/>
  <c r="Y30" i="1"/>
  <c r="Z6" i="1"/>
  <c r="Z5" i="1"/>
  <c r="Z4" i="1"/>
  <c r="Y6" i="1"/>
  <c r="Y5" i="1"/>
  <c r="Y4" i="1"/>
  <c r="S56" i="1"/>
  <c r="R56" i="1"/>
  <c r="AM70" i="1"/>
  <c r="AM74" i="1" s="1"/>
  <c r="S30" i="1"/>
  <c r="AN45" i="1" s="1"/>
  <c r="AN49" i="1" s="1"/>
  <c r="S31" i="1"/>
  <c r="V31" i="1" s="1"/>
  <c r="AL45" i="1" s="1"/>
  <c r="AL49" i="1" s="1"/>
  <c r="R45" i="1"/>
  <c r="R49" i="1" s="1"/>
  <c r="R30" i="1"/>
  <c r="AN44" i="1" s="1"/>
  <c r="AN48" i="1" s="1"/>
  <c r="AM44" i="1"/>
  <c r="AM48" i="1" s="1"/>
  <c r="S4" i="1"/>
  <c r="S5" i="1" s="1"/>
  <c r="S19" i="1" s="1"/>
  <c r="S23" i="1" s="1"/>
  <c r="R19" i="1"/>
  <c r="R23" i="1" s="1"/>
  <c r="R4" i="1"/>
  <c r="R5" i="1" s="1"/>
  <c r="S18" i="1" s="1"/>
  <c r="S22" i="1" s="1"/>
  <c r="D30" i="8" l="1"/>
  <c r="E30" i="8"/>
  <c r="C5" i="11" s="1"/>
  <c r="R49" i="6"/>
  <c r="R5" i="5"/>
  <c r="D25" i="7"/>
  <c r="AM18" i="1"/>
  <c r="AM22" i="1" s="1"/>
  <c r="R44" i="3"/>
  <c r="R48" i="3" s="1"/>
  <c r="R13" i="6"/>
  <c r="R14" i="6" s="1"/>
  <c r="R43" i="6" s="1"/>
  <c r="R45" i="6"/>
  <c r="R18" i="1"/>
  <c r="R22" i="1" s="1"/>
  <c r="AN19" i="1"/>
  <c r="AN23" i="1" s="1"/>
  <c r="R44" i="1"/>
  <c r="R48" i="1" s="1"/>
  <c r="S45" i="1"/>
  <c r="S49" i="1" s="1"/>
  <c r="S32" i="1"/>
  <c r="V30" i="1"/>
  <c r="AM45" i="1" s="1"/>
  <c r="AM49" i="1" s="1"/>
  <c r="R5" i="3"/>
  <c r="S18" i="3" s="1"/>
  <c r="S22" i="3" s="1"/>
  <c r="V5" i="5"/>
  <c r="Q48" i="6"/>
  <c r="Q12" i="6"/>
  <c r="Q45" i="6" s="1"/>
  <c r="G27" i="11"/>
  <c r="V4" i="1"/>
  <c r="AM19" i="1" s="1"/>
  <c r="AM23" i="1" s="1"/>
  <c r="V30" i="3"/>
  <c r="AM45" i="3" s="1"/>
  <c r="AM49" i="3" s="1"/>
  <c r="S10" i="6"/>
  <c r="S32" i="3"/>
  <c r="S33" i="3" s="1"/>
  <c r="V31" i="3"/>
  <c r="AL45" i="3" s="1"/>
  <c r="AL49" i="3" s="1"/>
  <c r="S45" i="3"/>
  <c r="S49" i="3" s="1"/>
  <c r="S44" i="3"/>
  <c r="S48" i="3" s="1"/>
  <c r="R45" i="3"/>
  <c r="R49" i="3" s="1"/>
  <c r="AN45" i="3"/>
  <c r="AN49" i="3" s="1"/>
  <c r="G28" i="11"/>
  <c r="R19" i="3"/>
  <c r="R23" i="3" s="1"/>
  <c r="C27" i="11"/>
  <c r="C33" i="11" s="1"/>
  <c r="R31" i="1"/>
  <c r="U31" i="1" s="1"/>
  <c r="AL44" i="1" s="1"/>
  <c r="AL48" i="1" s="1"/>
  <c r="O26" i="11"/>
  <c r="R32" i="3"/>
  <c r="S7" i="5"/>
  <c r="S8" i="5" s="1"/>
  <c r="V6" i="5"/>
  <c r="AM19" i="5"/>
  <c r="V4" i="3"/>
  <c r="AM19" i="3" s="1"/>
  <c r="AM23" i="3" s="1"/>
  <c r="AN19" i="3"/>
  <c r="AN23" i="3" s="1"/>
  <c r="AN18" i="1"/>
  <c r="AN22" i="1" s="1"/>
  <c r="Q47" i="6"/>
  <c r="S11" i="6"/>
  <c r="R46" i="6"/>
  <c r="K33" i="11"/>
  <c r="G35" i="11"/>
  <c r="G30" i="11"/>
  <c r="G36" i="11" s="1"/>
  <c r="AL20" i="5"/>
  <c r="AL21" i="5" s="1"/>
  <c r="T20" i="5"/>
  <c r="AK20" i="5" s="1"/>
  <c r="AK21" i="5" s="1"/>
  <c r="S21" i="5"/>
  <c r="C32" i="11"/>
  <c r="O41" i="11"/>
  <c r="M41" i="11"/>
  <c r="G34" i="11"/>
  <c r="M40" i="11"/>
  <c r="AN70" i="1"/>
  <c r="AN74" i="1" s="1"/>
  <c r="R57" i="1"/>
  <c r="R70" i="1"/>
  <c r="R74" i="1" s="1"/>
  <c r="AN71" i="1"/>
  <c r="AN75" i="1" s="1"/>
  <c r="V56" i="1"/>
  <c r="AM71" i="1" s="1"/>
  <c r="AM75" i="1" s="1"/>
  <c r="S7" i="3"/>
  <c r="V6" i="3"/>
  <c r="AK19" i="3" s="1"/>
  <c r="AK23" i="3" s="1"/>
  <c r="G31" i="11"/>
  <c r="G39" i="11" s="1"/>
  <c r="C28" i="11"/>
  <c r="C36" i="11" s="1"/>
  <c r="U5" i="1"/>
  <c r="AL18" i="1" s="1"/>
  <c r="AL22" i="1" s="1"/>
  <c r="R6" i="1"/>
  <c r="V5" i="1"/>
  <c r="AL19" i="1" s="1"/>
  <c r="AL23" i="1" s="1"/>
  <c r="S6" i="1"/>
  <c r="R71" i="1"/>
  <c r="R75" i="1" s="1"/>
  <c r="S57" i="1"/>
  <c r="S19" i="3"/>
  <c r="S23" i="3" s="1"/>
  <c r="V5" i="3"/>
  <c r="AL19" i="3" s="1"/>
  <c r="AL23" i="3" s="1"/>
  <c r="S19" i="5"/>
  <c r="R15" i="6" l="1"/>
  <c r="R16" i="6" s="1"/>
  <c r="R17" i="6" s="1"/>
  <c r="R18" i="6" s="1"/>
  <c r="C4" i="11"/>
  <c r="G32" i="11" s="1"/>
  <c r="G38" i="11" s="1"/>
  <c r="S12" i="6"/>
  <c r="U5" i="5"/>
  <c r="AL18" i="5" s="1"/>
  <c r="S18" i="5"/>
  <c r="R6" i="5"/>
  <c r="V7" i="5"/>
  <c r="T45" i="3"/>
  <c r="T49" i="3" s="1"/>
  <c r="V32" i="3"/>
  <c r="AK45" i="3" s="1"/>
  <c r="AK49" i="3" s="1"/>
  <c r="S44" i="1"/>
  <c r="S48" i="1" s="1"/>
  <c r="R32" i="1"/>
  <c r="R44" i="6"/>
  <c r="Q13" i="6"/>
  <c r="S13" i="6" s="1"/>
  <c r="S33" i="1"/>
  <c r="T45" i="1"/>
  <c r="T49" i="1" s="1"/>
  <c r="V32" i="1"/>
  <c r="AK45" i="1" s="1"/>
  <c r="AK49" i="1" s="1"/>
  <c r="U5" i="3"/>
  <c r="AL18" i="3" s="1"/>
  <c r="AL22" i="3" s="1"/>
  <c r="R6" i="3"/>
  <c r="C34" i="11"/>
  <c r="U32" i="3"/>
  <c r="AK44" i="3" s="1"/>
  <c r="AK48" i="3" s="1"/>
  <c r="R33" i="3"/>
  <c r="T44" i="3"/>
  <c r="T48" i="3" s="1"/>
  <c r="G37" i="11"/>
  <c r="U20" i="5"/>
  <c r="T21" i="5"/>
  <c r="V57" i="1"/>
  <c r="AL71" i="1" s="1"/>
  <c r="AL75" i="1" s="1"/>
  <c r="S58" i="1"/>
  <c r="S71" i="1"/>
  <c r="S75" i="1" s="1"/>
  <c r="R33" i="1"/>
  <c r="T44" i="1"/>
  <c r="T48" i="1" s="1"/>
  <c r="U32" i="1"/>
  <c r="AK44" i="1" s="1"/>
  <c r="AK48" i="1" s="1"/>
  <c r="T19" i="1"/>
  <c r="T23" i="1" s="1"/>
  <c r="S7" i="1"/>
  <c r="V6" i="1"/>
  <c r="AK19" i="1" s="1"/>
  <c r="AK23" i="1" s="1"/>
  <c r="R7" i="1"/>
  <c r="U6" i="1"/>
  <c r="AK18" i="1" s="1"/>
  <c r="AK22" i="1" s="1"/>
  <c r="T18" i="1"/>
  <c r="T22" i="1" s="1"/>
  <c r="S34" i="3"/>
  <c r="V33" i="3"/>
  <c r="AJ45" i="3" s="1"/>
  <c r="AJ49" i="3" s="1"/>
  <c r="U45" i="3"/>
  <c r="U49" i="3" s="1"/>
  <c r="T19" i="5"/>
  <c r="AL19" i="5"/>
  <c r="S9" i="5"/>
  <c r="V8" i="5"/>
  <c r="S8" i="3"/>
  <c r="U19" i="3"/>
  <c r="U23" i="3" s="1"/>
  <c r="V7" i="3"/>
  <c r="AJ19" i="3" s="1"/>
  <c r="AJ23" i="3" s="1"/>
  <c r="R58" i="1"/>
  <c r="S70" i="1"/>
  <c r="S74" i="1" s="1"/>
  <c r="U57" i="1"/>
  <c r="AL70" i="1" s="1"/>
  <c r="AL74" i="1" s="1"/>
  <c r="R40" i="6" l="1"/>
  <c r="R41" i="6"/>
  <c r="R42" i="6"/>
  <c r="G40" i="11"/>
  <c r="G19" i="11"/>
  <c r="O27" i="11"/>
  <c r="O29" i="11" s="1"/>
  <c r="O30" i="11" s="1"/>
  <c r="K34" i="11"/>
  <c r="K35" i="11" s="1"/>
  <c r="O19" i="11"/>
  <c r="K19" i="11"/>
  <c r="P40" i="11"/>
  <c r="Q40" i="11" s="1"/>
  <c r="C29" i="11"/>
  <c r="C35" i="11" s="1"/>
  <c r="C37" i="11" s="1"/>
  <c r="Q44" i="6"/>
  <c r="Q14" i="6"/>
  <c r="Q15" i="6" s="1"/>
  <c r="U6" i="5"/>
  <c r="AK18" i="5" s="1"/>
  <c r="R7" i="5"/>
  <c r="T18" i="5"/>
  <c r="C6" i="11"/>
  <c r="P41" i="11" s="1"/>
  <c r="Q41" i="11" s="1"/>
  <c r="G41" i="11"/>
  <c r="U6" i="3"/>
  <c r="AK18" i="3" s="1"/>
  <c r="AK22" i="3" s="1"/>
  <c r="R7" i="3"/>
  <c r="T18" i="3"/>
  <c r="T22" i="3" s="1"/>
  <c r="V33" i="1"/>
  <c r="AJ45" i="1" s="1"/>
  <c r="AJ49" i="1" s="1"/>
  <c r="U45" i="1"/>
  <c r="U49" i="1" s="1"/>
  <c r="S34" i="1"/>
  <c r="U33" i="3"/>
  <c r="AJ44" i="3" s="1"/>
  <c r="AJ48" i="3" s="1"/>
  <c r="U44" i="3"/>
  <c r="U48" i="3" s="1"/>
  <c r="R34" i="3"/>
  <c r="R19" i="6"/>
  <c r="R39" i="6"/>
  <c r="AJ20" i="5"/>
  <c r="AJ21" i="5" s="1"/>
  <c r="U21" i="5"/>
  <c r="V20" i="5"/>
  <c r="R59" i="1"/>
  <c r="T70" i="1"/>
  <c r="T74" i="1" s="1"/>
  <c r="U58" i="1"/>
  <c r="AK70" i="1" s="1"/>
  <c r="AK74" i="1" s="1"/>
  <c r="S10" i="5"/>
  <c r="V9" i="5"/>
  <c r="V34" i="3"/>
  <c r="AI45" i="3" s="1"/>
  <c r="AI49" i="3" s="1"/>
  <c r="S35" i="3"/>
  <c r="V45" i="3"/>
  <c r="V49" i="3" s="1"/>
  <c r="S9" i="3"/>
  <c r="V8" i="3"/>
  <c r="AI19" i="3" s="1"/>
  <c r="AI23" i="3" s="1"/>
  <c r="V19" i="3"/>
  <c r="V23" i="3" s="1"/>
  <c r="U19" i="5"/>
  <c r="AK19" i="5"/>
  <c r="U18" i="1"/>
  <c r="U22" i="1" s="1"/>
  <c r="R8" i="1"/>
  <c r="U7" i="1"/>
  <c r="AJ18" i="1" s="1"/>
  <c r="AJ22" i="1" s="1"/>
  <c r="U19" i="1"/>
  <c r="U23" i="1" s="1"/>
  <c r="S8" i="1"/>
  <c r="V7" i="1"/>
  <c r="AJ19" i="1" s="1"/>
  <c r="AJ23" i="1" s="1"/>
  <c r="R34" i="1"/>
  <c r="U44" i="1"/>
  <c r="U48" i="1" s="1"/>
  <c r="U33" i="1"/>
  <c r="AJ44" i="1" s="1"/>
  <c r="AJ48" i="1" s="1"/>
  <c r="V58" i="1"/>
  <c r="AK71" i="1" s="1"/>
  <c r="AK75" i="1" s="1"/>
  <c r="S59" i="1"/>
  <c r="T71" i="1"/>
  <c r="T75" i="1" s="1"/>
  <c r="S14" i="6" l="1"/>
  <c r="Q43" i="6"/>
  <c r="R8" i="5"/>
  <c r="U18" i="5"/>
  <c r="U7" i="5"/>
  <c r="AJ18" i="5" s="1"/>
  <c r="C9" i="11"/>
  <c r="C7" i="11"/>
  <c r="S35" i="1"/>
  <c r="V34" i="1"/>
  <c r="AI45" i="1" s="1"/>
  <c r="AI49" i="1" s="1"/>
  <c r="V45" i="1"/>
  <c r="V49" i="1" s="1"/>
  <c r="U7" i="3"/>
  <c r="AJ18" i="3" s="1"/>
  <c r="AJ22" i="3" s="1"/>
  <c r="R8" i="3"/>
  <c r="U18" i="3"/>
  <c r="U22" i="3" s="1"/>
  <c r="U34" i="3"/>
  <c r="AI44" i="3" s="1"/>
  <c r="AI48" i="3" s="1"/>
  <c r="R35" i="3"/>
  <c r="V44" i="3"/>
  <c r="V48" i="3" s="1"/>
  <c r="R20" i="6"/>
  <c r="R38" i="6"/>
  <c r="S15" i="6"/>
  <c r="Q16" i="6"/>
  <c r="Q42" i="6"/>
  <c r="W20" i="5"/>
  <c r="V21" i="5"/>
  <c r="AI20" i="5"/>
  <c r="AI21" i="5" s="1"/>
  <c r="V18" i="1"/>
  <c r="V22" i="1" s="1"/>
  <c r="R9" i="1"/>
  <c r="U8" i="1"/>
  <c r="AI18" i="1" s="1"/>
  <c r="AI22" i="1" s="1"/>
  <c r="S10" i="3"/>
  <c r="V9" i="3"/>
  <c r="AH19" i="3" s="1"/>
  <c r="AH23" i="3" s="1"/>
  <c r="W19" i="3"/>
  <c r="W23" i="3" s="1"/>
  <c r="S36" i="3"/>
  <c r="V35" i="3"/>
  <c r="AH45" i="3" s="1"/>
  <c r="AH49" i="3" s="1"/>
  <c r="W45" i="3"/>
  <c r="W49" i="3" s="1"/>
  <c r="S11" i="5"/>
  <c r="V10" i="5"/>
  <c r="R60" i="1"/>
  <c r="U70" i="1"/>
  <c r="U74" i="1" s="1"/>
  <c r="U59" i="1"/>
  <c r="AJ70" i="1" s="1"/>
  <c r="AJ74" i="1" s="1"/>
  <c r="V59" i="1"/>
  <c r="AJ71" i="1" s="1"/>
  <c r="AJ75" i="1" s="1"/>
  <c r="S60" i="1"/>
  <c r="U71" i="1"/>
  <c r="U75" i="1" s="1"/>
  <c r="R35" i="1"/>
  <c r="V44" i="1"/>
  <c r="V48" i="1" s="1"/>
  <c r="U34" i="1"/>
  <c r="AI44" i="1" s="1"/>
  <c r="AI48" i="1" s="1"/>
  <c r="V19" i="1"/>
  <c r="V23" i="1" s="1"/>
  <c r="S9" i="1"/>
  <c r="V8" i="1"/>
  <c r="AI19" i="1" s="1"/>
  <c r="AI23" i="1" s="1"/>
  <c r="V19" i="5"/>
  <c r="AJ19" i="5"/>
  <c r="R9" i="5" l="1"/>
  <c r="V18" i="5"/>
  <c r="U8" i="5"/>
  <c r="AI18" i="5" s="1"/>
  <c r="U8" i="3"/>
  <c r="AI18" i="3" s="1"/>
  <c r="AI22" i="3" s="1"/>
  <c r="V18" i="3"/>
  <c r="V22" i="3" s="1"/>
  <c r="R9" i="3"/>
  <c r="S36" i="1"/>
  <c r="V35" i="1"/>
  <c r="AH45" i="1" s="1"/>
  <c r="AH49" i="1" s="1"/>
  <c r="W45" i="1"/>
  <c r="W49" i="1" s="1"/>
  <c r="U35" i="3"/>
  <c r="AH44" i="3" s="1"/>
  <c r="AH48" i="3" s="1"/>
  <c r="W44" i="3"/>
  <c r="W48" i="3" s="1"/>
  <c r="R36" i="3"/>
  <c r="R21" i="6"/>
  <c r="R37" i="6"/>
  <c r="S16" i="6"/>
  <c r="Q41" i="6"/>
  <c r="Q17" i="6"/>
  <c r="AH20" i="5"/>
  <c r="AH21" i="5" s="1"/>
  <c r="W21" i="5"/>
  <c r="X20" i="5"/>
  <c r="W19" i="1"/>
  <c r="W23" i="1" s="1"/>
  <c r="S10" i="1"/>
  <c r="V9" i="1"/>
  <c r="AH19" i="1" s="1"/>
  <c r="AH23" i="1" s="1"/>
  <c r="R36" i="1"/>
  <c r="W44" i="1"/>
  <c r="W48" i="1" s="1"/>
  <c r="U35" i="1"/>
  <c r="AH44" i="1" s="1"/>
  <c r="AH48" i="1" s="1"/>
  <c r="V60" i="1"/>
  <c r="AI71" i="1" s="1"/>
  <c r="AI75" i="1" s="1"/>
  <c r="S61" i="1"/>
  <c r="V71" i="1"/>
  <c r="V75" i="1" s="1"/>
  <c r="R61" i="1"/>
  <c r="V70" i="1"/>
  <c r="V74" i="1" s="1"/>
  <c r="U60" i="1"/>
  <c r="AI70" i="1" s="1"/>
  <c r="AI74" i="1" s="1"/>
  <c r="V36" i="3"/>
  <c r="AG45" i="3" s="1"/>
  <c r="AG49" i="3" s="1"/>
  <c r="S37" i="3"/>
  <c r="X45" i="3"/>
  <c r="X49" i="3" s="1"/>
  <c r="W19" i="5"/>
  <c r="AI19" i="5"/>
  <c r="S12" i="5"/>
  <c r="V11" i="5"/>
  <c r="S11" i="3"/>
  <c r="V10" i="3"/>
  <c r="AG19" i="3" s="1"/>
  <c r="AG23" i="3" s="1"/>
  <c r="X19" i="3"/>
  <c r="X23" i="3" s="1"/>
  <c r="W18" i="1"/>
  <c r="W22" i="1" s="1"/>
  <c r="R10" i="1"/>
  <c r="U9" i="1"/>
  <c r="AH18" i="1" s="1"/>
  <c r="AH22" i="1" s="1"/>
  <c r="W18" i="5" l="1"/>
  <c r="R10" i="5"/>
  <c r="U9" i="5"/>
  <c r="AH18" i="5" s="1"/>
  <c r="U9" i="3"/>
  <c r="AH18" i="3" s="1"/>
  <c r="AH22" i="3" s="1"/>
  <c r="W18" i="3"/>
  <c r="W22" i="3" s="1"/>
  <c r="R10" i="3"/>
  <c r="V36" i="1"/>
  <c r="AG45" i="1" s="1"/>
  <c r="AG49" i="1" s="1"/>
  <c r="S37" i="1"/>
  <c r="X45" i="1"/>
  <c r="X49" i="1" s="1"/>
  <c r="U36" i="3"/>
  <c r="AG44" i="3" s="1"/>
  <c r="AG48" i="3" s="1"/>
  <c r="X44" i="3"/>
  <c r="X48" i="3" s="1"/>
  <c r="R37" i="3"/>
  <c r="R22" i="6"/>
  <c r="R36" i="6"/>
  <c r="S17" i="6"/>
  <c r="Q18" i="6"/>
  <c r="Q40" i="6"/>
  <c r="Y20" i="5"/>
  <c r="X21" i="5"/>
  <c r="AG20" i="5"/>
  <c r="AG21" i="5" s="1"/>
  <c r="R11" i="1"/>
  <c r="U10" i="1"/>
  <c r="AG18" i="1" s="1"/>
  <c r="AG22" i="1" s="1"/>
  <c r="X18" i="1"/>
  <c r="X22" i="1" s="1"/>
  <c r="S12" i="3"/>
  <c r="Y19" i="3"/>
  <c r="Y23" i="3" s="1"/>
  <c r="V11" i="3"/>
  <c r="AF19" i="3" s="1"/>
  <c r="AF23" i="3" s="1"/>
  <c r="S13" i="5"/>
  <c r="V12" i="5"/>
  <c r="X19" i="5"/>
  <c r="AH19" i="5"/>
  <c r="S38" i="3"/>
  <c r="V37" i="3"/>
  <c r="AF45" i="3" s="1"/>
  <c r="AF49" i="3" s="1"/>
  <c r="Y45" i="3"/>
  <c r="Y49" i="3" s="1"/>
  <c r="R62" i="1"/>
  <c r="W70" i="1"/>
  <c r="W74" i="1" s="1"/>
  <c r="U61" i="1"/>
  <c r="AH70" i="1" s="1"/>
  <c r="AH74" i="1" s="1"/>
  <c r="V61" i="1"/>
  <c r="AH71" i="1" s="1"/>
  <c r="AH75" i="1" s="1"/>
  <c r="S62" i="1"/>
  <c r="W71" i="1"/>
  <c r="W75" i="1" s="1"/>
  <c r="R37" i="1"/>
  <c r="X44" i="1"/>
  <c r="X48" i="1" s="1"/>
  <c r="U36" i="1"/>
  <c r="AG44" i="1" s="1"/>
  <c r="AG48" i="1" s="1"/>
  <c r="X19" i="1"/>
  <c r="X23" i="1" s="1"/>
  <c r="S11" i="1"/>
  <c r="V10" i="1"/>
  <c r="AG19" i="1" s="1"/>
  <c r="AG23" i="1" s="1"/>
  <c r="R11" i="5" l="1"/>
  <c r="X18" i="5"/>
  <c r="U10" i="5"/>
  <c r="AG18" i="5" s="1"/>
  <c r="U10" i="3"/>
  <c r="AG18" i="3" s="1"/>
  <c r="AG22" i="3" s="1"/>
  <c r="X18" i="3"/>
  <c r="X22" i="3" s="1"/>
  <c r="R11" i="3"/>
  <c r="V37" i="1"/>
  <c r="AF45" i="1" s="1"/>
  <c r="AF49" i="1" s="1"/>
  <c r="Y45" i="1"/>
  <c r="Y49" i="1" s="1"/>
  <c r="S38" i="1"/>
  <c r="U37" i="3"/>
  <c r="AF44" i="3" s="1"/>
  <c r="AF48" i="3" s="1"/>
  <c r="R38" i="3"/>
  <c r="Y44" i="3"/>
  <c r="Y48" i="3" s="1"/>
  <c r="R23" i="6"/>
  <c r="R35" i="6"/>
  <c r="Q39" i="6"/>
  <c r="Q19" i="6"/>
  <c r="S18" i="6"/>
  <c r="Z20" i="5"/>
  <c r="AF20" i="5"/>
  <c r="AF21" i="5" s="1"/>
  <c r="Y21" i="5"/>
  <c r="Y19" i="1"/>
  <c r="Y23" i="1" s="1"/>
  <c r="S12" i="1"/>
  <c r="V11" i="1"/>
  <c r="AF19" i="1" s="1"/>
  <c r="AF23" i="1" s="1"/>
  <c r="V38" i="3"/>
  <c r="AE45" i="3" s="1"/>
  <c r="AE49" i="3" s="1"/>
  <c r="S39" i="3"/>
  <c r="Z45" i="3"/>
  <c r="Z49" i="3" s="1"/>
  <c r="Y19" i="5"/>
  <c r="AG19" i="5"/>
  <c r="S13" i="3"/>
  <c r="V12" i="3"/>
  <c r="AE19" i="3" s="1"/>
  <c r="AE23" i="3" s="1"/>
  <c r="Z19" i="3"/>
  <c r="Z23" i="3" s="1"/>
  <c r="R38" i="1"/>
  <c r="Y44" i="1"/>
  <c r="Y48" i="1" s="1"/>
  <c r="U37" i="1"/>
  <c r="AF44" i="1" s="1"/>
  <c r="AF48" i="1" s="1"/>
  <c r="V62" i="1"/>
  <c r="AG71" i="1" s="1"/>
  <c r="AG75" i="1" s="1"/>
  <c r="S63" i="1"/>
  <c r="X71" i="1"/>
  <c r="X75" i="1" s="1"/>
  <c r="R63" i="1"/>
  <c r="X70" i="1"/>
  <c r="X74" i="1" s="1"/>
  <c r="U62" i="1"/>
  <c r="AG70" i="1" s="1"/>
  <c r="AG74" i="1" s="1"/>
  <c r="S14" i="5"/>
  <c r="V14" i="5" s="1"/>
  <c r="V13" i="5"/>
  <c r="Y18" i="1"/>
  <c r="Y22" i="1" s="1"/>
  <c r="R12" i="1"/>
  <c r="U11" i="1"/>
  <c r="AF18" i="1" s="1"/>
  <c r="AF22" i="1" s="1"/>
  <c r="Y18" i="5" l="1"/>
  <c r="U11" i="5"/>
  <c r="AF18" i="5" s="1"/>
  <c r="R12" i="5"/>
  <c r="U11" i="3"/>
  <c r="AF18" i="3" s="1"/>
  <c r="AF22" i="3" s="1"/>
  <c r="R12" i="3"/>
  <c r="Y18" i="3"/>
  <c r="Y22" i="3" s="1"/>
  <c r="S39" i="1"/>
  <c r="Z45" i="1"/>
  <c r="Z49" i="1" s="1"/>
  <c r="V38" i="1"/>
  <c r="AE45" i="1" s="1"/>
  <c r="AE49" i="1" s="1"/>
  <c r="R39" i="3"/>
  <c r="U38" i="3"/>
  <c r="AE44" i="3" s="1"/>
  <c r="AE48" i="3" s="1"/>
  <c r="Z44" i="3"/>
  <c r="Z48" i="3" s="1"/>
  <c r="R24" i="6"/>
  <c r="R34" i="6"/>
  <c r="S19" i="6"/>
  <c r="Q38" i="6"/>
  <c r="Q20" i="6"/>
  <c r="AA20" i="5"/>
  <c r="Z21" i="5"/>
  <c r="AE20" i="5"/>
  <c r="AE21" i="5" s="1"/>
  <c r="Z18" i="1"/>
  <c r="Z22" i="1" s="1"/>
  <c r="R13" i="1"/>
  <c r="U12" i="1"/>
  <c r="AE18" i="1" s="1"/>
  <c r="AE22" i="1" s="1"/>
  <c r="S14" i="3"/>
  <c r="V13" i="3"/>
  <c r="AD19" i="3" s="1"/>
  <c r="AD23" i="3" s="1"/>
  <c r="AA19" i="3"/>
  <c r="AA23" i="3" s="1"/>
  <c r="Z19" i="5"/>
  <c r="AF19" i="5"/>
  <c r="S40" i="3"/>
  <c r="V39" i="3"/>
  <c r="AD45" i="3" s="1"/>
  <c r="AD49" i="3" s="1"/>
  <c r="AA45" i="3"/>
  <c r="AA49" i="3" s="1"/>
  <c r="R64" i="1"/>
  <c r="Y70" i="1"/>
  <c r="Y74" i="1" s="1"/>
  <c r="U63" i="1"/>
  <c r="AF70" i="1" s="1"/>
  <c r="AF74" i="1" s="1"/>
  <c r="V63" i="1"/>
  <c r="AF71" i="1" s="1"/>
  <c r="AF75" i="1" s="1"/>
  <c r="S64" i="1"/>
  <c r="Y71" i="1"/>
  <c r="Y75" i="1" s="1"/>
  <c r="R39" i="1"/>
  <c r="Z44" i="1"/>
  <c r="Z48" i="1" s="1"/>
  <c r="U38" i="1"/>
  <c r="AE44" i="1" s="1"/>
  <c r="AE48" i="1" s="1"/>
  <c r="Z19" i="1"/>
  <c r="Z23" i="1" s="1"/>
  <c r="S13" i="1"/>
  <c r="V12" i="1"/>
  <c r="AE19" i="1" s="1"/>
  <c r="AE23" i="1" s="1"/>
  <c r="Z18" i="5" l="1"/>
  <c r="U12" i="5"/>
  <c r="AE18" i="5" s="1"/>
  <c r="R13" i="5"/>
  <c r="S40" i="1"/>
  <c r="AA45" i="1"/>
  <c r="AA49" i="1" s="1"/>
  <c r="V39" i="1"/>
  <c r="AD45" i="1" s="1"/>
  <c r="AD49" i="1" s="1"/>
  <c r="Z18" i="3"/>
  <c r="Z22" i="3" s="1"/>
  <c r="R13" i="3"/>
  <c r="U12" i="3"/>
  <c r="AE18" i="3" s="1"/>
  <c r="AE22" i="3" s="1"/>
  <c r="U39" i="3"/>
  <c r="AD44" i="3" s="1"/>
  <c r="AD48" i="3" s="1"/>
  <c r="AA44" i="3"/>
  <c r="AA48" i="3" s="1"/>
  <c r="R40" i="3"/>
  <c r="R25" i="6"/>
  <c r="R33" i="6"/>
  <c r="Q21" i="6"/>
  <c r="S20" i="6"/>
  <c r="Q37" i="6"/>
  <c r="AD20" i="5"/>
  <c r="AD21" i="5" s="1"/>
  <c r="AA21" i="5"/>
  <c r="AB20" i="5"/>
  <c r="AA19" i="1"/>
  <c r="AA23" i="1" s="1"/>
  <c r="S14" i="1"/>
  <c r="V13" i="1"/>
  <c r="AD19" i="1" s="1"/>
  <c r="AD23" i="1" s="1"/>
  <c r="R40" i="1"/>
  <c r="AA44" i="1"/>
  <c r="AA48" i="1" s="1"/>
  <c r="U39" i="1"/>
  <c r="AD44" i="1" s="1"/>
  <c r="AD48" i="1" s="1"/>
  <c r="V64" i="1"/>
  <c r="AE71" i="1" s="1"/>
  <c r="AE75" i="1" s="1"/>
  <c r="S65" i="1"/>
  <c r="Z71" i="1"/>
  <c r="Z75" i="1" s="1"/>
  <c r="R65" i="1"/>
  <c r="Z70" i="1"/>
  <c r="Z74" i="1" s="1"/>
  <c r="U64" i="1"/>
  <c r="AE70" i="1" s="1"/>
  <c r="AE74" i="1" s="1"/>
  <c r="V14" i="3"/>
  <c r="AC19" i="3" s="1"/>
  <c r="AC23" i="3" s="1"/>
  <c r="AB19" i="3"/>
  <c r="AB23" i="3" s="1"/>
  <c r="AA18" i="1"/>
  <c r="AA22" i="1" s="1"/>
  <c r="R14" i="1"/>
  <c r="U13" i="1"/>
  <c r="AD18" i="1" s="1"/>
  <c r="AD22" i="1" s="1"/>
  <c r="V40" i="3"/>
  <c r="AC45" i="3" s="1"/>
  <c r="AC49" i="3" s="1"/>
  <c r="AB45" i="3"/>
  <c r="AB49" i="3" s="1"/>
  <c r="AA19" i="5"/>
  <c r="AE19" i="5"/>
  <c r="AA18" i="5" l="1"/>
  <c r="U13" i="5"/>
  <c r="AD18" i="5" s="1"/>
  <c r="R14" i="5"/>
  <c r="R14" i="3"/>
  <c r="AA18" i="3"/>
  <c r="AA22" i="3" s="1"/>
  <c r="U13" i="3"/>
  <c r="AD18" i="3" s="1"/>
  <c r="AD22" i="3" s="1"/>
  <c r="V40" i="1"/>
  <c r="AC45" i="1" s="1"/>
  <c r="AC49" i="1" s="1"/>
  <c r="AB45" i="1"/>
  <c r="AB49" i="1" s="1"/>
  <c r="U40" i="3"/>
  <c r="AC44" i="3" s="1"/>
  <c r="AC48" i="3" s="1"/>
  <c r="AB44" i="3"/>
  <c r="AB48" i="3" s="1"/>
  <c r="R26" i="6"/>
  <c r="R32" i="6"/>
  <c r="Q22" i="6"/>
  <c r="S21" i="6"/>
  <c r="Q36" i="6"/>
  <c r="AC20" i="5"/>
  <c r="AC21" i="5" s="1"/>
  <c r="AB21" i="5"/>
  <c r="AB19" i="5"/>
  <c r="AC19" i="5" s="1"/>
  <c r="AD19" i="5"/>
  <c r="U14" i="1"/>
  <c r="AC18" i="1" s="1"/>
  <c r="AC22" i="1" s="1"/>
  <c r="AB18" i="1"/>
  <c r="AB22" i="1" s="1"/>
  <c r="R66" i="1"/>
  <c r="AA70" i="1"/>
  <c r="AA74" i="1" s="1"/>
  <c r="U65" i="1"/>
  <c r="AD70" i="1" s="1"/>
  <c r="AD74" i="1" s="1"/>
  <c r="V65" i="1"/>
  <c r="AD71" i="1" s="1"/>
  <c r="AD75" i="1" s="1"/>
  <c r="S66" i="1"/>
  <c r="AA71" i="1"/>
  <c r="AA75" i="1" s="1"/>
  <c r="AB44" i="1"/>
  <c r="AB48" i="1" s="1"/>
  <c r="U40" i="1"/>
  <c r="AC44" i="1" s="1"/>
  <c r="AC48" i="1" s="1"/>
  <c r="V14" i="1"/>
  <c r="AC19" i="1" s="1"/>
  <c r="AC23" i="1" s="1"/>
  <c r="AB19" i="1"/>
  <c r="AB23" i="1" s="1"/>
  <c r="U14" i="5" l="1"/>
  <c r="AC18" i="5" s="1"/>
  <c r="AB18" i="5"/>
  <c r="AB18" i="3"/>
  <c r="AB22" i="3" s="1"/>
  <c r="U14" i="3"/>
  <c r="AC18" i="3" s="1"/>
  <c r="AC22" i="3" s="1"/>
  <c r="R27" i="6"/>
  <c r="R31" i="6"/>
  <c r="S22" i="6"/>
  <c r="Q35" i="6"/>
  <c r="Q23" i="6"/>
  <c r="V66" i="1"/>
  <c r="AC71" i="1" s="1"/>
  <c r="AC75" i="1" s="1"/>
  <c r="AB71" i="1"/>
  <c r="AB75" i="1" s="1"/>
  <c r="AB70" i="1"/>
  <c r="AB74" i="1" s="1"/>
  <c r="U66" i="1"/>
  <c r="AC70" i="1" s="1"/>
  <c r="AC74" i="1" s="1"/>
  <c r="R30" i="6" l="1"/>
  <c r="R28" i="6"/>
  <c r="R29" i="6" s="1"/>
  <c r="Q24" i="6"/>
  <c r="Q34" i="6"/>
  <c r="S23" i="6"/>
  <c r="Q33" i="6" l="1"/>
  <c r="Q25" i="6"/>
  <c r="S24" i="6"/>
  <c r="Q26" i="6" l="1"/>
  <c r="S25" i="6"/>
  <c r="Q32" i="6"/>
  <c r="Q27" i="6" l="1"/>
  <c r="Q31" i="6"/>
  <c r="S26" i="6"/>
  <c r="S27" i="6" l="1"/>
  <c r="Q28" i="6"/>
  <c r="Q30" i="6"/>
  <c r="S28" i="6" l="1"/>
  <c r="Q29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Prosser</author>
  </authors>
  <commentList>
    <comment ref="B19" authorId="0" shapeId="0" xr:uid="{00000000-0006-0000-0300-000001000000}">
      <text>
        <r>
          <rPr>
            <sz val="8"/>
            <color indexed="81"/>
            <rFont val="Tahoma"/>
            <family val="2"/>
          </rPr>
          <t>Enter 90 for a normal vertical stabilizer and &lt; 90 for a V-Tail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Prosser</author>
  </authors>
  <commentList>
    <comment ref="D10" authorId="0" shapeId="0" xr:uid="{00000000-0006-0000-0500-000001000000}">
      <text>
        <r>
          <rPr>
            <sz val="8"/>
            <color indexed="81"/>
            <rFont val="Tahoma"/>
            <family val="2"/>
          </rPr>
          <t>Cells in this column are only used if "Auto Balance" is unchecked.</t>
        </r>
      </text>
    </comment>
    <comment ref="E10" authorId="0" shapeId="0" xr:uid="{00000000-0006-0000-0500-000002000000}">
      <text>
        <r>
          <rPr>
            <sz val="8"/>
            <color indexed="81"/>
            <rFont val="Tahoma"/>
            <family val="2"/>
          </rPr>
          <t>Cells in this column are only used if "Auto Balance" is unchecked.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Prosser</author>
  </authors>
  <commentList>
    <comment ref="B4" authorId="0" shapeId="0" xr:uid="{00000000-0006-0000-0800-000001000000}">
      <text>
        <r>
          <rPr>
            <sz val="8"/>
            <color indexed="81"/>
            <rFont val="Tahoma"/>
            <family val="2"/>
          </rPr>
          <t>Balance point relative to the leading edge of the wing root</t>
        </r>
      </text>
    </comment>
    <comment ref="B5" authorId="0" shapeId="0" xr:uid="{00000000-0006-0000-0800-000002000000}">
      <text>
        <r>
          <rPr>
            <sz val="8"/>
            <color indexed="81"/>
            <rFont val="Tahoma"/>
            <family val="2"/>
          </rPr>
          <t xml:space="preserve">Balance point relative to the fuselage centerline
</t>
        </r>
      </text>
    </comment>
    <comment ref="B6" authorId="0" shapeId="0" xr:uid="{00000000-0006-0000-0800-000003000000}">
      <text>
        <r>
          <rPr>
            <sz val="8"/>
            <color indexed="81"/>
            <rFont val="Tahoma"/>
            <family val="2"/>
          </rPr>
          <t>The CG (x location) must be in front of this point for pitch stability</t>
        </r>
      </text>
    </comment>
    <comment ref="B7" authorId="0" shapeId="0" xr:uid="{00000000-0006-0000-0800-000004000000}">
      <text>
        <r>
          <rPr>
            <sz val="8"/>
            <color indexed="81"/>
            <rFont val="Tahoma"/>
            <family val="2"/>
          </rPr>
          <t xml:space="preserve">Increases as the CG moves farther in front of the neutral point.  Most planes fly well with a static margin of </t>
        </r>
        <r>
          <rPr>
            <sz val="8"/>
            <color indexed="81"/>
            <rFont val="Tahoma"/>
            <family val="2"/>
          </rPr>
          <t>5 - 15%.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" authorId="0" shapeId="0" xr:uid="{00000000-0006-0000-0800-000005000000}">
      <text>
        <r>
          <rPr>
            <sz val="8"/>
            <color indexed="81"/>
            <rFont val="Tahoma"/>
            <family val="2"/>
          </rPr>
          <t xml:space="preserve">Sum of airframe "empty" weight and point masses weight
</t>
        </r>
      </text>
    </comment>
    <comment ref="B9" authorId="0" shapeId="0" xr:uid="{00000000-0006-0000-0800-000006000000}">
      <text>
        <r>
          <rPr>
            <sz val="8"/>
            <color indexed="81"/>
            <rFont val="Tahoma"/>
            <family val="2"/>
          </rPr>
          <t xml:space="preserve">Must be </t>
        </r>
        <r>
          <rPr>
            <b/>
            <sz val="8"/>
            <color indexed="81"/>
            <rFont val="Tahoma"/>
            <family val="2"/>
          </rPr>
          <t>&lt; 0</t>
        </r>
        <r>
          <rPr>
            <sz val="8"/>
            <color indexed="81"/>
            <rFont val="Tahoma"/>
            <family val="2"/>
          </rPr>
          <t xml:space="preserve"> for pitch stability</t>
        </r>
      </text>
    </comment>
  </commentList>
</comments>
</file>

<file path=xl/sharedStrings.xml><?xml version="1.0" encoding="utf-8"?>
<sst xmlns="http://schemas.openxmlformats.org/spreadsheetml/2006/main" count="514" uniqueCount="248">
  <si>
    <t>Wing 1</t>
  </si>
  <si>
    <t>Root chord</t>
  </si>
  <si>
    <t>y-offset</t>
  </si>
  <si>
    <t>Panel</t>
  </si>
  <si>
    <t>Tip Chord</t>
  </si>
  <si>
    <t>Length</t>
  </si>
  <si>
    <t>LE Sweep</t>
  </si>
  <si>
    <t>Dihedral (°)</t>
  </si>
  <si>
    <t>Inputs</t>
  </si>
  <si>
    <t>Outputs</t>
  </si>
  <si>
    <t>Span</t>
  </si>
  <si>
    <t>Planform Area</t>
  </si>
  <si>
    <t>Aspect Ratio</t>
  </si>
  <si>
    <t>Centroid x</t>
  </si>
  <si>
    <t>Centroid y</t>
  </si>
  <si>
    <t>M.A.C.</t>
  </si>
  <si>
    <t>Aero Center x</t>
  </si>
  <si>
    <t>Taper Ratio</t>
  </si>
  <si>
    <t>Wing 2</t>
  </si>
  <si>
    <t>Wing 3</t>
  </si>
  <si>
    <t>x</t>
  </si>
  <si>
    <t>y</t>
  </si>
  <si>
    <t>Point</t>
  </si>
  <si>
    <t>Top Right</t>
  </si>
  <si>
    <t>Bottom Right</t>
  </si>
  <si>
    <t>x-position</t>
  </si>
  <si>
    <t>Points arranged for plotting: Right Wing</t>
  </si>
  <si>
    <t>Points arranged for plotting: Left Wing</t>
  </si>
  <si>
    <t>Panels</t>
  </si>
  <si>
    <t>z-position</t>
  </si>
  <si>
    <t>0.5c Sweep (°)</t>
  </si>
  <si>
    <t>0.25c Swp. (°)</t>
  </si>
  <si>
    <r>
      <t>dCL/dα (rad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</si>
  <si>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MAC Line</t>
  </si>
  <si>
    <t>Horizontal Stabilizer</t>
  </si>
  <si>
    <t>Canard</t>
  </si>
  <si>
    <t>Points arranged for plotting: Right Stab</t>
  </si>
  <si>
    <t>Points arranged for plotting: Left Stab</t>
  </si>
  <si>
    <t>Points arranged for plotting: Right Canard</t>
  </si>
  <si>
    <t>Points arranged for plotting: Left Canard</t>
  </si>
  <si>
    <t>Stab TE</t>
  </si>
  <si>
    <t>z</t>
  </si>
  <si>
    <t>Points arranged for plotting</t>
  </si>
  <si>
    <t>Centroid z</t>
  </si>
  <si>
    <t>Equ. Area V.</t>
  </si>
  <si>
    <t>Equ. Area H.</t>
  </si>
  <si>
    <t>Vertical Stabilizer / V-Tail</t>
  </si>
  <si>
    <t>Stabilizers</t>
  </si>
  <si>
    <t>yleft</t>
  </si>
  <si>
    <t>yright</t>
  </si>
  <si>
    <t>Total Area</t>
  </si>
  <si>
    <t>Use multiple stabilizers and dihedral to create a V-Tail</t>
  </si>
  <si>
    <t>Stab LE - Surface Coords</t>
  </si>
  <si>
    <t>Getting Started</t>
  </si>
  <si>
    <t>Fuselage</t>
  </si>
  <si>
    <t>Points</t>
  </si>
  <si>
    <t>Important: Wings must be drawn first in order for fuselage outputs to be accurate.</t>
  </si>
  <si>
    <t>Wing Arrangement</t>
  </si>
  <si>
    <t>Distance</t>
  </si>
  <si>
    <t>Offset fuselage in x-direction</t>
  </si>
  <si>
    <t>General Outputs</t>
  </si>
  <si>
    <t>V-Tail Specific Outputs</t>
  </si>
  <si>
    <t>Monoplane</t>
  </si>
  <si>
    <t>Biplane</t>
  </si>
  <si>
    <t>Triplane</t>
  </si>
  <si>
    <t>Vertical Stabilizer or V-Tail</t>
  </si>
  <si>
    <t>Balancing Options</t>
  </si>
  <si>
    <t>Enter weight of each part of the airframe separately</t>
  </si>
  <si>
    <t>Enter a total weight and balance location</t>
  </si>
  <si>
    <t>Stabilizer Arrangement</t>
  </si>
  <si>
    <t>General Info</t>
  </si>
  <si>
    <t>Yellow cells require user input.</t>
  </si>
  <si>
    <t>Green cells display calculated outputs.</t>
  </si>
  <si>
    <t>Macros must be enabled for the spreadsheet to work properly.</t>
  </si>
  <si>
    <t>You may need to adjust macro security settings to enable macros.</t>
  </si>
  <si>
    <t xml:space="preserve">        It's not a proper "right-hand rule" system, but who cares. Deal with it.</t>
  </si>
  <si>
    <t>The coordinate system is shown above.  It's set up this way for formatting reasons.</t>
  </si>
  <si>
    <t>Results</t>
  </si>
  <si>
    <t>CG Location (x):</t>
  </si>
  <si>
    <t>CG Location (y):</t>
  </si>
  <si>
    <t>All-Up Weight:</t>
  </si>
  <si>
    <t>Wing Results</t>
  </si>
  <si>
    <t>Total Sections:</t>
  </si>
  <si>
    <t>Fore:</t>
  </si>
  <si>
    <t>Aft:</t>
  </si>
  <si>
    <t>Fuselage Area:</t>
  </si>
  <si>
    <t>Centroid in x-axis:</t>
  </si>
  <si>
    <t>Wing 1 Intersections</t>
  </si>
  <si>
    <t>Centroid in y-axis:</t>
  </si>
  <si>
    <t>Wing Intersect Area:</t>
  </si>
  <si>
    <r>
      <t>Fuse. dCm/dα (rad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):</t>
    </r>
  </si>
  <si>
    <t>Weights</t>
  </si>
  <si>
    <t>Enter 0 for the weight of any component your plane lacks.</t>
  </si>
  <si>
    <t>Balance points</t>
  </si>
  <si>
    <t>"Auto Balance" - if checked, the spreadsheet will use the centroid of the component as the balance point.</t>
  </si>
  <si>
    <t>The green boxes show the balance points that the spreadsheet will use to find the CG.</t>
  </si>
  <si>
    <t>Balance Points</t>
  </si>
  <si>
    <t>Component</t>
  </si>
  <si>
    <t>Weight</t>
  </si>
  <si>
    <t>Auto Balance</t>
  </si>
  <si>
    <t>x (input)</t>
  </si>
  <si>
    <t>y (input)</t>
  </si>
  <si>
    <t>x (output)</t>
  </si>
  <si>
    <t>y (output)</t>
  </si>
  <si>
    <t>Total "Empty" Weight:</t>
  </si>
  <si>
    <t>Balance pt:</t>
  </si>
  <si>
    <t>x-position:</t>
  </si>
  <si>
    <t>y-position:</t>
  </si>
  <si>
    <t>Point Masses</t>
  </si>
  <si>
    <t>Notes</t>
  </si>
  <si>
    <t>Use point masses for placing weights at different points on your model.</t>
  </si>
  <si>
    <t>Use point masses to test the effects of equipment placement and ballasts.</t>
  </si>
  <si>
    <t>Use as many or as few point masses as you want, and call them whatever you want.</t>
  </si>
  <si>
    <t>Give unneeded point masses a weight of 0.  These will not be used in the spreadsheet.</t>
  </si>
  <si>
    <t>Point masses with positive weight will be displayed on the Top View Chart.</t>
  </si>
  <si>
    <t>Index</t>
  </si>
  <si>
    <t>Name</t>
  </si>
  <si>
    <t>y-position</t>
  </si>
  <si>
    <t>Motor</t>
  </si>
  <si>
    <t>Servo 3</t>
  </si>
  <si>
    <t>Servo 4</t>
  </si>
  <si>
    <t>Battery</t>
  </si>
  <si>
    <t>eLogger</t>
  </si>
  <si>
    <t>Servo Extensions</t>
  </si>
  <si>
    <t>Engine</t>
  </si>
  <si>
    <t>Fuel Tank</t>
  </si>
  <si>
    <t>Cowl</t>
  </si>
  <si>
    <t>Nacelle 1</t>
  </si>
  <si>
    <t>Nacelle 2</t>
  </si>
  <si>
    <t>Totals</t>
  </si>
  <si>
    <t>Select the options that describe your plane's configuration.</t>
  </si>
  <si>
    <t>Configuration:</t>
  </si>
  <si>
    <t>Overall</t>
  </si>
  <si>
    <t>Planform Area:</t>
  </si>
  <si>
    <t>Wing Span:</t>
  </si>
  <si>
    <t>Span:</t>
  </si>
  <si>
    <t>MAC:</t>
  </si>
  <si>
    <t>Aero Center:</t>
  </si>
  <si>
    <t>Wing Center (z):</t>
  </si>
  <si>
    <t>Aspect Ratio:</t>
  </si>
  <si>
    <r>
      <t>Lift Slope (rad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):</t>
    </r>
  </si>
  <si>
    <t>Trailing Edge:</t>
  </si>
  <si>
    <t>0.25c Sweep (°):</t>
  </si>
  <si>
    <t>Neutral Point (x):</t>
  </si>
  <si>
    <r>
      <t>Total dCm/dα (rad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):</t>
    </r>
  </si>
  <si>
    <t>Horizontal Stabilizer Results</t>
  </si>
  <si>
    <t>dε/dα:</t>
  </si>
  <si>
    <r>
      <t>l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>:</t>
    </r>
  </si>
  <si>
    <r>
      <t>l</t>
    </r>
    <r>
      <rPr>
        <vertAlign val="subscript"/>
        <sz val="10"/>
        <rFont val="Arial"/>
        <family val="2"/>
      </rPr>
      <t>h1</t>
    </r>
    <r>
      <rPr>
        <sz val="10"/>
        <rFont val="Arial"/>
        <family val="2"/>
      </rPr>
      <t>:</t>
    </r>
  </si>
  <si>
    <r>
      <t>l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>:</t>
    </r>
  </si>
  <si>
    <r>
      <t>K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>:</t>
    </r>
  </si>
  <si>
    <r>
      <t>K</t>
    </r>
    <r>
      <rPr>
        <vertAlign val="subscript"/>
        <sz val="10"/>
        <rFont val="Arial"/>
        <family val="2"/>
      </rPr>
      <t>λ</t>
    </r>
    <r>
      <rPr>
        <sz val="10"/>
        <rFont val="Arial"/>
        <family val="2"/>
      </rPr>
      <t>:</t>
    </r>
  </si>
  <si>
    <r>
      <t>K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>:</t>
    </r>
  </si>
  <si>
    <r>
      <t>η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>:</t>
    </r>
  </si>
  <si>
    <r>
      <t>V</t>
    </r>
    <r>
      <rPr>
        <vertAlign val="subscript"/>
        <sz val="10"/>
        <rFont val="Arial"/>
        <family val="2"/>
      </rPr>
      <t xml:space="preserve">h </t>
    </r>
    <r>
      <rPr>
        <sz val="10"/>
        <rFont val="Arial"/>
        <family val="2"/>
      </rPr>
      <t>(tail volume ratio):</t>
    </r>
  </si>
  <si>
    <t>V-Tail Results</t>
  </si>
  <si>
    <r>
      <t>V</t>
    </r>
    <r>
      <rPr>
        <vertAlign val="subscript"/>
        <sz val="10"/>
        <rFont val="Arial"/>
        <family val="2"/>
      </rPr>
      <t xml:space="preserve">v </t>
    </r>
    <r>
      <rPr>
        <sz val="10"/>
        <rFont val="Arial"/>
        <family val="2"/>
      </rPr>
      <t>(tail volume ratio):</t>
    </r>
  </si>
  <si>
    <t>Fuselage Information</t>
  </si>
  <si>
    <t>Overall Balancing Results</t>
  </si>
  <si>
    <t>Height (z):</t>
  </si>
  <si>
    <r>
      <t>l</t>
    </r>
    <r>
      <rPr>
        <vertAlign val="subscript"/>
        <sz val="10"/>
        <rFont val="Arial"/>
        <family val="2"/>
      </rPr>
      <t>h:</t>
    </r>
  </si>
  <si>
    <r>
      <t>l</t>
    </r>
    <r>
      <rPr>
        <vertAlign val="subscript"/>
        <sz val="10"/>
        <rFont val="Arial"/>
        <family val="2"/>
      </rPr>
      <t>h1:</t>
    </r>
  </si>
  <si>
    <r>
      <t>l</t>
    </r>
    <r>
      <rPr>
        <vertAlign val="subscript"/>
        <sz val="10"/>
        <rFont val="Arial"/>
        <family val="2"/>
      </rPr>
      <t>t:</t>
    </r>
  </si>
  <si>
    <r>
      <t>K</t>
    </r>
    <r>
      <rPr>
        <vertAlign val="subscript"/>
        <sz val="10"/>
        <rFont val="Arial"/>
        <family val="2"/>
      </rPr>
      <t>a:</t>
    </r>
  </si>
  <si>
    <r>
      <t>K</t>
    </r>
    <r>
      <rPr>
        <vertAlign val="subscript"/>
        <sz val="10"/>
        <rFont val="Arial"/>
        <family val="2"/>
      </rPr>
      <t>λ:</t>
    </r>
  </si>
  <si>
    <r>
      <t>K</t>
    </r>
    <r>
      <rPr>
        <vertAlign val="subscript"/>
        <sz val="10"/>
        <rFont val="Arial"/>
        <family val="2"/>
      </rPr>
      <t>h:</t>
    </r>
  </si>
  <si>
    <r>
      <t>η</t>
    </r>
    <r>
      <rPr>
        <vertAlign val="subscript"/>
        <sz val="10"/>
        <rFont val="Arial"/>
        <family val="2"/>
      </rPr>
      <t>t:</t>
    </r>
  </si>
  <si>
    <t>Length:</t>
  </si>
  <si>
    <t>Width:</t>
  </si>
  <si>
    <t>Area:</t>
  </si>
  <si>
    <t>Vertical Stabilizer Information</t>
  </si>
  <si>
    <r>
      <t>V</t>
    </r>
    <r>
      <rPr>
        <vertAlign val="subscript"/>
        <sz val="10"/>
        <rFont val="Arial"/>
        <family val="2"/>
      </rPr>
      <t>v:</t>
    </r>
  </si>
  <si>
    <t>Canard Information</t>
  </si>
  <si>
    <r>
      <t>V</t>
    </r>
    <r>
      <rPr>
        <vertAlign val="subscript"/>
        <sz val="10"/>
        <rFont val="Arial"/>
        <family val="2"/>
      </rPr>
      <t xml:space="preserve">h </t>
    </r>
    <r>
      <rPr>
        <sz val="10"/>
        <rFont val="Arial"/>
        <family val="2"/>
      </rPr>
      <t>(volume ratio):</t>
    </r>
  </si>
  <si>
    <r>
      <t>dCm/dα (rad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):</t>
    </r>
  </si>
  <si>
    <t>Mean MAC:</t>
  </si>
  <si>
    <t>Mean AR:</t>
  </si>
  <si>
    <t>Mean λ:</t>
  </si>
  <si>
    <t>Vert. Stabs/ V-Tail</t>
  </si>
  <si>
    <t>Equiv. Horiz. Area:</t>
  </si>
  <si>
    <t>Equiv. Vert. Area:</t>
  </si>
  <si>
    <t>Total Area:</t>
  </si>
  <si>
    <t># of Stabilizers:</t>
  </si>
  <si>
    <t>Static Margin:</t>
  </si>
  <si>
    <t>Wing Loading Calculation</t>
  </si>
  <si>
    <t>Weight:</t>
  </si>
  <si>
    <t>/</t>
  </si>
  <si>
    <t>Wing Loading (select desired units):</t>
  </si>
  <si>
    <t>cm</t>
  </si>
  <si>
    <t>m</t>
  </si>
  <si>
    <t>mm</t>
  </si>
  <si>
    <t>dm</t>
  </si>
  <si>
    <t>g</t>
  </si>
  <si>
    <t>kg</t>
  </si>
  <si>
    <t>in</t>
  </si>
  <si>
    <t>ft</t>
  </si>
  <si>
    <t>oz</t>
  </si>
  <si>
    <t>lb</t>
  </si>
  <si>
    <t>Spreadsheet units (select the units you used):</t>
  </si>
  <si>
    <t>in^2</t>
  </si>
  <si>
    <t>ft^2</t>
  </si>
  <si>
    <t>mm^2</t>
  </si>
  <si>
    <t>cm^2</t>
  </si>
  <si>
    <t>dm^2</t>
  </si>
  <si>
    <t>m^2</t>
  </si>
  <si>
    <t>Static Margin Adjustment</t>
  </si>
  <si>
    <t>Click the button to interactively adjust point masses to get a desired static margin</t>
  </si>
  <si>
    <t>Units are arbitrary.  Select working units for length and weight and</t>
  </si>
  <si>
    <t xml:space="preserve">   keep them consistent throughout the spreadsheet.  On the</t>
  </si>
  <si>
    <t xml:space="preserve">   Results page you will be asked to report your units for the wing</t>
  </si>
  <si>
    <t xml:space="preserve">   If not checked, enter the balance points yourself (Wing 1 root leading edge is the origin).</t>
  </si>
  <si>
    <t>Draw the top (positive y) side fuselage using up to 20 points.  The other side is automatically drawn as the mirror image.</t>
  </si>
  <si>
    <t>Draw from top to bottom: x-values should be decreasing from Point 1 to Point 20.  Press the calculations button when finished.</t>
  </si>
  <si>
    <t>Option 1 under 'Balancing' on the 'Getting Started' page is selected, so please use the box</t>
  </si>
  <si>
    <t xml:space="preserve">   above to enter the weights and balance points for each component of your plane.  The final</t>
  </si>
  <si>
    <t xml:space="preserve">   values will be displayed in the box below.  Note: you can change this option from the 'Getting</t>
  </si>
  <si>
    <t xml:space="preserve">   Started' page only.</t>
  </si>
  <si>
    <t>Nose Weight</t>
  </si>
  <si>
    <t>Spinner</t>
  </si>
  <si>
    <r>
      <t>Bandu N. Pamadi</t>
    </r>
    <r>
      <rPr>
        <sz val="10"/>
        <rFont val="Arial"/>
        <family val="2"/>
      </rPr>
      <t xml:space="preserve">, </t>
    </r>
    <r>
      <rPr>
        <i/>
        <sz val="10"/>
        <rFont val="Arial"/>
        <family val="2"/>
      </rPr>
      <t>Performance, Stability, Dynamics and Control of</t>
    </r>
  </si>
  <si>
    <r>
      <t>Airplanes</t>
    </r>
    <r>
      <rPr>
        <sz val="10"/>
        <rFont val="Arial"/>
        <family val="2"/>
      </rPr>
      <t>.  See chapter 3 for a very detailed discussion on</t>
    </r>
  </si>
  <si>
    <t>longitudinal static stability of aircraft.  Available in Google Books.</t>
  </si>
  <si>
    <r>
      <t>John D. Anderson</t>
    </r>
    <r>
      <rPr>
        <sz val="10"/>
        <rFont val="Arial"/>
        <family val="2"/>
      </rPr>
      <t xml:space="preserve">, </t>
    </r>
    <r>
      <rPr>
        <i/>
        <sz val="10"/>
        <rFont val="Arial"/>
        <family val="2"/>
      </rPr>
      <t>Introduction to Flight</t>
    </r>
    <r>
      <rPr>
        <sz val="10"/>
        <rFont val="Arial"/>
        <family val="2"/>
      </rPr>
      <t>.  Chapter 7 has a good, basic</t>
    </r>
  </si>
  <si>
    <t>overview of aircraft stability.</t>
  </si>
  <si>
    <r>
      <t>Ilan Kroo</t>
    </r>
    <r>
      <rPr>
        <sz val="10"/>
        <rFont val="Arial"/>
        <family val="2"/>
      </rPr>
      <t xml:space="preserve">, </t>
    </r>
    <r>
      <rPr>
        <i/>
        <sz val="10"/>
        <rFont val="Arial"/>
        <family val="2"/>
      </rPr>
      <t>Aircraft Design: Synthesis and Analysis</t>
    </r>
    <r>
      <rPr>
        <sz val="10"/>
        <rFont val="Arial"/>
        <family val="2"/>
      </rPr>
      <t>.  See the notes on</t>
    </r>
  </si>
  <si>
    <t>Static Longitudinal Stability for the empirical relation for fuselage</t>
  </si>
  <si>
    <t>pitching moment slope.</t>
  </si>
  <si>
    <r>
      <t>Dr. Mark Drela</t>
    </r>
    <r>
      <rPr>
        <sz val="10"/>
        <rFont val="Arial"/>
        <family val="2"/>
      </rPr>
      <t>, for help with V-Tail sizing (through RCGroups forums).</t>
    </r>
  </si>
  <si>
    <t>References</t>
  </si>
  <si>
    <t xml:space="preserve">     following references or were developed by me.</t>
  </si>
  <si>
    <t>All equations and algorithms in this spreadsheet came from one of the</t>
  </si>
  <si>
    <t>About Me</t>
  </si>
  <si>
    <t>I am an engineering student at the Rochester Institute of Technology</t>
  </si>
  <si>
    <t xml:space="preserve">     currently working on a Masters Degree in Micro Air Vehicle design.</t>
  </si>
  <si>
    <t xml:space="preserve">     You can contact me at dpross1100@msn.com for questions, comments,</t>
  </si>
  <si>
    <t xml:space="preserve">     or suggestions about this spreadsheet.</t>
  </si>
  <si>
    <t>Miscellaneous</t>
  </si>
  <si>
    <t>Ignore fuselage contribution</t>
  </si>
  <si>
    <t>Note: if you check this and then uncheck it again,</t>
  </si>
  <si>
    <t xml:space="preserve">     you must re-run fuselage calculations.</t>
  </si>
  <si>
    <t>AVL Export</t>
  </si>
  <si>
    <t>Export geometry &amp; reference values for AVL or Cloud Cap Technologies AVL Editor</t>
  </si>
  <si>
    <t xml:space="preserve">   loading calculation and for AVL export.</t>
  </si>
  <si>
    <t>Nose Gear</t>
  </si>
  <si>
    <t>Tail Gear</t>
  </si>
  <si>
    <t>Propeller</t>
  </si>
  <si>
    <t>Nose Cone</t>
  </si>
  <si>
    <t>Fairing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</si>
</sst>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</font>
    <font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vertAlign val="superscript"/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u/>
      <sz val="11"/>
      <color indexed="12"/>
      <name val="Arial"/>
      <family val="2"/>
    </font>
    <font>
      <sz val="8"/>
      <color indexed="81"/>
      <name val="Tahoma"/>
      <family val="2"/>
    </font>
    <font>
      <sz val="10"/>
      <color indexed="10"/>
      <name val="Arial"/>
      <family val="2"/>
    </font>
    <font>
      <vertAlign val="subscript"/>
      <sz val="10"/>
      <name val="Arial"/>
      <family val="2"/>
    </font>
    <font>
      <b/>
      <sz val="8"/>
      <color indexed="81"/>
      <name val="Tahoma"/>
      <family val="2"/>
    </font>
    <font>
      <sz val="14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0" fillId="0" borderId="0" xfId="0" applyFill="1" applyBorder="1" applyProtection="1">
      <protection locked="0"/>
    </xf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alignment horizontal="right"/>
      <protection locked="0"/>
    </xf>
    <xf numFmtId="0" fontId="0" fillId="3" borderId="1" xfId="0" applyFill="1" applyBorder="1" applyProtection="1">
      <protection locked="0"/>
    </xf>
    <xf numFmtId="0" fontId="0" fillId="0" borderId="1" xfId="0" applyBorder="1" applyProtection="1"/>
    <xf numFmtId="0" fontId="0" fillId="0" borderId="0" xfId="0" quotePrefix="1"/>
    <xf numFmtId="0" fontId="0" fillId="0" borderId="0" xfId="0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3" xfId="0" applyBorder="1" applyAlignment="1" applyProtection="1">
      <alignment horizontal="right"/>
      <protection locked="0"/>
    </xf>
    <xf numFmtId="0" fontId="0" fillId="0" borderId="3" xfId="0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7" fillId="0" borderId="0" xfId="0" applyFont="1" applyProtection="1"/>
    <xf numFmtId="0" fontId="0" fillId="0" borderId="4" xfId="0" applyBorder="1" applyProtection="1">
      <protection locked="0"/>
    </xf>
    <xf numFmtId="0" fontId="0" fillId="3" borderId="4" xfId="0" applyFill="1" applyBorder="1" applyProtection="1">
      <protection locked="0"/>
    </xf>
    <xf numFmtId="0" fontId="0" fillId="2" borderId="1" xfId="0" applyNumberFormat="1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5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7" xfId="0" applyBorder="1" applyProtection="1">
      <protection locked="0"/>
    </xf>
    <xf numFmtId="0" fontId="0" fillId="0" borderId="3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  <protection locked="0"/>
    </xf>
    <xf numFmtId="0" fontId="7" fillId="0" borderId="0" xfId="0" applyFont="1" applyFill="1" applyBorder="1" applyProtection="1"/>
    <xf numFmtId="0" fontId="6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6" fillId="0" borderId="0" xfId="0" applyFont="1" applyAlignment="1" applyProtection="1">
      <protection locked="0"/>
    </xf>
    <xf numFmtId="0" fontId="0" fillId="0" borderId="0" xfId="0" applyFill="1" applyProtection="1"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3" borderId="1" xfId="0" applyFont="1" applyFill="1" applyBorder="1" applyProtection="1"/>
    <xf numFmtId="0" fontId="11" fillId="0" borderId="0" xfId="0" applyFont="1" applyProtection="1">
      <protection locked="0"/>
    </xf>
    <xf numFmtId="0" fontId="11" fillId="0" borderId="0" xfId="0" applyFont="1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3" borderId="7" xfId="0" applyFill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3" borderId="13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6" fillId="0" borderId="0" xfId="0" applyFont="1" applyFill="1" applyBorder="1" applyProtection="1">
      <protection locked="0"/>
    </xf>
    <xf numFmtId="0" fontId="6" fillId="0" borderId="0" xfId="0" applyFont="1" applyBorder="1" applyProtection="1">
      <protection locked="0"/>
    </xf>
    <xf numFmtId="0" fontId="1" fillId="0" borderId="6" xfId="0" applyFont="1" applyFill="1" applyBorder="1" applyProtection="1">
      <protection locked="0"/>
    </xf>
    <xf numFmtId="0" fontId="1" fillId="0" borderId="5" xfId="0" applyFont="1" applyFill="1" applyBorder="1" applyProtection="1">
      <protection locked="0"/>
    </xf>
    <xf numFmtId="0" fontId="0" fillId="3" borderId="1" xfId="0" applyFill="1" applyBorder="1" applyProtection="1"/>
    <xf numFmtId="0" fontId="0" fillId="3" borderId="1" xfId="0" quotePrefix="1" applyFill="1" applyBorder="1" applyProtection="1"/>
    <xf numFmtId="10" fontId="0" fillId="3" borderId="1" xfId="0" applyNumberFormat="1" applyFill="1" applyBorder="1" applyProtection="1"/>
    <xf numFmtId="0" fontId="0" fillId="3" borderId="1" xfId="0" applyFill="1" applyBorder="1" applyAlignment="1" applyProtection="1">
      <alignment horizontal="right"/>
    </xf>
    <xf numFmtId="0" fontId="0" fillId="3" borderId="3" xfId="0" applyFill="1" applyBorder="1" applyProtection="1"/>
    <xf numFmtId="0" fontId="0" fillId="3" borderId="2" xfId="0" applyFill="1" applyBorder="1" applyProtection="1"/>
    <xf numFmtId="2" fontId="7" fillId="0" borderId="0" xfId="0" applyNumberFormat="1" applyFont="1" applyProtection="1"/>
    <xf numFmtId="0" fontId="0" fillId="0" borderId="14" xfId="0" applyBorder="1" applyProtection="1">
      <protection locked="0"/>
    </xf>
    <xf numFmtId="0" fontId="1" fillId="0" borderId="7" xfId="0" applyNumberFormat="1" applyFont="1" applyBorder="1" applyProtection="1">
      <protection locked="0"/>
    </xf>
    <xf numFmtId="0" fontId="1" fillId="0" borderId="11" xfId="0" applyNumberFormat="1" applyFont="1" applyBorder="1" applyProtection="1">
      <protection locked="0"/>
    </xf>
    <xf numFmtId="0" fontId="1" fillId="0" borderId="8" xfId="0" applyFont="1" applyBorder="1" applyProtection="1">
      <protection locked="0"/>
    </xf>
    <xf numFmtId="0" fontId="1" fillId="0" borderId="13" xfId="0" applyNumberFormat="1" applyFont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9" fillId="0" borderId="0" xfId="0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6" fillId="0" borderId="1" xfId="0" applyFont="1" applyBorder="1" applyProtection="1">
      <protection locked="0"/>
    </xf>
    <xf numFmtId="0" fontId="6" fillId="0" borderId="0" xfId="0" applyFont="1"/>
    <xf numFmtId="0" fontId="15" fillId="0" borderId="0" xfId="0" applyFont="1"/>
    <xf numFmtId="0" fontId="4" fillId="0" borderId="0" xfId="0" applyFont="1"/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left"/>
      <protection locked="0"/>
    </xf>
    <xf numFmtId="0" fontId="8" fillId="0" borderId="1" xfId="0" applyFont="1" applyFill="1" applyBorder="1" applyAlignment="1" applyProtection="1">
      <protection locked="0"/>
    </xf>
    <xf numFmtId="0" fontId="8" fillId="0" borderId="1" xfId="0" applyFont="1" applyBorder="1" applyAlignment="1" applyProtection="1">
      <protection locked="0"/>
    </xf>
    <xf numFmtId="0" fontId="8" fillId="2" borderId="1" xfId="0" applyFont="1" applyFill="1" applyBorder="1" applyProtection="1">
      <protection locked="0"/>
    </xf>
    <xf numFmtId="0" fontId="8" fillId="0" borderId="5" xfId="0" applyFont="1" applyBorder="1" applyProtection="1">
      <protection locked="0"/>
    </xf>
    <xf numFmtId="0" fontId="8" fillId="0" borderId="15" xfId="0" applyFont="1" applyBorder="1" applyProtection="1">
      <protection locked="0"/>
    </xf>
    <xf numFmtId="0" fontId="8" fillId="0" borderId="15" xfId="0" applyFont="1" applyFill="1" applyBorder="1" applyProtection="1">
      <protection locked="0"/>
    </xf>
    <xf numFmtId="0" fontId="8" fillId="3" borderId="3" xfId="0" applyFont="1" applyFill="1" applyBorder="1" applyProtection="1"/>
    <xf numFmtId="0" fontId="8" fillId="0" borderId="14" xfId="0" applyFont="1" applyBorder="1" applyProtection="1">
      <protection locked="0"/>
    </xf>
    <xf numFmtId="0" fontId="8" fillId="0" borderId="14" xfId="0" applyFont="1" applyFill="1" applyBorder="1" applyProtection="1">
      <protection locked="0"/>
    </xf>
    <xf numFmtId="0" fontId="8" fillId="3" borderId="7" xfId="0" applyFont="1" applyFill="1" applyBorder="1" applyProtection="1"/>
    <xf numFmtId="0" fontId="8" fillId="0" borderId="8" xfId="0" applyFont="1" applyBorder="1" applyProtection="1">
      <protection locked="0"/>
    </xf>
    <xf numFmtId="0" fontId="8" fillId="0" borderId="8" xfId="0" applyFont="1" applyFill="1" applyBorder="1" applyProtection="1">
      <protection locked="0"/>
    </xf>
    <xf numFmtId="0" fontId="8" fillId="3" borderId="13" xfId="0" applyFont="1" applyFill="1" applyBorder="1" applyProtection="1"/>
    <xf numFmtId="0" fontId="3" fillId="0" borderId="0" xfId="0" applyFont="1" applyProtection="1">
      <protection locked="0"/>
    </xf>
    <xf numFmtId="0" fontId="0" fillId="0" borderId="0" xfId="0" quotePrefix="1" applyProtection="1">
      <protection locked="0"/>
    </xf>
    <xf numFmtId="0" fontId="0" fillId="0" borderId="3" xfId="0" applyBorder="1" applyProtection="1"/>
    <xf numFmtId="0" fontId="1" fillId="2" borderId="1" xfId="0" applyFont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14" fillId="3" borderId="14" xfId="0" applyFont="1" applyFill="1" applyBorder="1" applyAlignment="1" applyProtection="1">
      <alignment horizontal="right" vertical="center"/>
      <protection locked="0"/>
    </xf>
    <xf numFmtId="0" fontId="14" fillId="3" borderId="8" xfId="0" applyFont="1" applyFill="1" applyBorder="1" applyAlignment="1" applyProtection="1">
      <alignment horizontal="right" vertical="center"/>
      <protection locked="0"/>
    </xf>
    <xf numFmtId="0" fontId="0" fillId="3" borderId="6" xfId="0" applyNumberFormat="1" applyFill="1" applyBorder="1" applyAlignment="1" applyProtection="1">
      <alignment horizontal="center" vertical="center"/>
      <protection locked="0"/>
    </xf>
    <xf numFmtId="0" fontId="0" fillId="3" borderId="14" xfId="0" applyNumberFormat="1" applyFill="1" applyBorder="1" applyAlignment="1" applyProtection="1">
      <alignment horizontal="center" vertical="center"/>
      <protection locked="0"/>
    </xf>
    <xf numFmtId="0" fontId="0" fillId="3" borderId="12" xfId="0" applyNumberFormat="1" applyFill="1" applyBorder="1" applyAlignment="1" applyProtection="1">
      <alignment horizontal="center" vertical="center"/>
      <protection locked="0"/>
    </xf>
    <xf numFmtId="0" fontId="0" fillId="3" borderId="8" xfId="0" applyNumberForma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wrapText="1"/>
      <protection locked="0"/>
    </xf>
    <xf numFmtId="0" fontId="8" fillId="0" borderId="14" xfId="0" applyFont="1" applyBorder="1" applyAlignment="1" applyProtection="1">
      <alignment horizontal="center" wrapText="1"/>
      <protection locked="0"/>
    </xf>
    <xf numFmtId="0" fontId="8" fillId="0" borderId="7" xfId="0" applyFont="1" applyBorder="1" applyAlignment="1" applyProtection="1">
      <alignment horizontal="center" wrapText="1"/>
      <protection locked="0"/>
    </xf>
    <xf numFmtId="0" fontId="8" fillId="0" borderId="10" xfId="0" applyFont="1" applyBorder="1" applyAlignment="1" applyProtection="1">
      <alignment horizontal="center" wrapText="1"/>
      <protection locked="0"/>
    </xf>
    <xf numFmtId="0" fontId="8" fillId="0" borderId="0" xfId="0" applyFont="1" applyBorder="1" applyAlignment="1" applyProtection="1">
      <alignment horizontal="center" wrapText="1"/>
      <protection locked="0"/>
    </xf>
    <xf numFmtId="0" fontId="8" fillId="0" borderId="11" xfId="0" applyFont="1" applyBorder="1" applyAlignment="1" applyProtection="1">
      <alignment horizontal="center" wrapText="1"/>
      <protection locked="0"/>
    </xf>
    <xf numFmtId="0" fontId="8" fillId="0" borderId="12" xfId="0" applyFont="1" applyBorder="1" applyAlignment="1" applyProtection="1">
      <alignment horizontal="center" wrapText="1"/>
      <protection locked="0"/>
    </xf>
    <xf numFmtId="0" fontId="8" fillId="0" borderId="8" xfId="0" applyFont="1" applyBorder="1" applyAlignment="1" applyProtection="1">
      <alignment horizontal="center" wrapText="1"/>
      <protection locked="0"/>
    </xf>
    <xf numFmtId="0" fontId="8" fillId="0" borderId="13" xfId="0" applyFont="1" applyBorder="1" applyAlignment="1" applyProtection="1">
      <alignment horizontal="center" wrapText="1"/>
      <protection locked="0"/>
    </xf>
    <xf numFmtId="0" fontId="0" fillId="0" borderId="6" xfId="0" applyBorder="1" applyAlignment="1" applyProtection="1">
      <alignment horizontal="center" vertical="top" wrapText="1"/>
      <protection locked="0"/>
    </xf>
    <xf numFmtId="0" fontId="0" fillId="0" borderId="7" xfId="0" applyBorder="1" applyAlignment="1" applyProtection="1">
      <alignment horizontal="center" vertical="top" wrapText="1"/>
      <protection locked="0"/>
    </xf>
    <xf numFmtId="0" fontId="0" fillId="0" borderId="10" xfId="0" applyBorder="1" applyAlignment="1" applyProtection="1">
      <alignment horizontal="center" vertical="top" wrapText="1"/>
      <protection locked="0"/>
    </xf>
    <xf numFmtId="0" fontId="0" fillId="0" borderId="11" xfId="0" applyBorder="1" applyAlignment="1" applyProtection="1">
      <alignment horizontal="center" vertical="top" wrapText="1"/>
      <protection locked="0"/>
    </xf>
    <xf numFmtId="0" fontId="0" fillId="0" borderId="12" xfId="0" applyBorder="1" applyAlignment="1" applyProtection="1">
      <alignment horizontal="center" vertical="top" wrapText="1"/>
      <protection locked="0"/>
    </xf>
    <xf numFmtId="0" fontId="0" fillId="0" borderId="13" xfId="0" applyBorder="1" applyAlignment="1" applyProtection="1">
      <alignment horizontal="center" vertical="top" wrapText="1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44535748143323"/>
          <c:y val="7.9411878750974774E-2"/>
          <c:w val="0.85457333923858825"/>
          <c:h val="0.770589341953903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Wings!$R$19:$AN$19</c:f>
              <c:numCache>
                <c:formatCode>General</c:formatCode>
                <c:ptCount val="23"/>
                <c:pt idx="0">
                  <c:v>0</c:v>
                </c:pt>
                <c:pt idx="1">
                  <c:v>61.625</c:v>
                </c:pt>
                <c:pt idx="2">
                  <c:v>61.625</c:v>
                </c:pt>
                <c:pt idx="3">
                  <c:v>61.625</c:v>
                </c:pt>
                <c:pt idx="4">
                  <c:v>61.625</c:v>
                </c:pt>
                <c:pt idx="5">
                  <c:v>61.625</c:v>
                </c:pt>
                <c:pt idx="6">
                  <c:v>61.625</c:v>
                </c:pt>
                <c:pt idx="7">
                  <c:v>61.625</c:v>
                </c:pt>
                <c:pt idx="8">
                  <c:v>61.625</c:v>
                </c:pt>
                <c:pt idx="9">
                  <c:v>61.625</c:v>
                </c:pt>
                <c:pt idx="10">
                  <c:v>61.625</c:v>
                </c:pt>
                <c:pt idx="11">
                  <c:v>61.625</c:v>
                </c:pt>
                <c:pt idx="12">
                  <c:v>61.625</c:v>
                </c:pt>
                <c:pt idx="13">
                  <c:v>61.625</c:v>
                </c:pt>
                <c:pt idx="14">
                  <c:v>61.625</c:v>
                </c:pt>
                <c:pt idx="15">
                  <c:v>61.625</c:v>
                </c:pt>
                <c:pt idx="16">
                  <c:v>61.625</c:v>
                </c:pt>
                <c:pt idx="17">
                  <c:v>61.625</c:v>
                </c:pt>
                <c:pt idx="18">
                  <c:v>61.625</c:v>
                </c:pt>
                <c:pt idx="19">
                  <c:v>61.625</c:v>
                </c:pt>
                <c:pt idx="20">
                  <c:v>61.625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Wings!$R$18:$AN$18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-16.5</c:v>
                </c:pt>
                <c:pt idx="21">
                  <c:v>-16.5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61-4C0B-AD1E-DBA14DFF1A5E}"/>
            </c:ext>
          </c:extLst>
        </c:ser>
        <c:ser>
          <c:idx val="1"/>
          <c:order val="1"/>
          <c:tx>
            <c:v>Panel1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(Wings!$S$5,Wings!$V$5)</c:f>
              <c:numCache>
                <c:formatCode>General</c:formatCode>
                <c:ptCount val="2"/>
                <c:pt idx="0">
                  <c:v>61.625</c:v>
                </c:pt>
                <c:pt idx="1">
                  <c:v>61.625</c:v>
                </c:pt>
              </c:numCache>
            </c:numRef>
          </c:xVal>
          <c:yVal>
            <c:numRef>
              <c:f>(Wings!$R$5,Wings!$U$5)</c:f>
              <c:numCache>
                <c:formatCode>General</c:formatCode>
                <c:ptCount val="2"/>
                <c:pt idx="0">
                  <c:v>0</c:v>
                </c:pt>
                <c:pt idx="1">
                  <c:v>-16.5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61-4C0B-AD1E-DBA14DFF1A5E}"/>
            </c:ext>
          </c:extLst>
        </c:ser>
        <c:ser>
          <c:idx val="2"/>
          <c:order val="2"/>
          <c:tx>
            <c:v>Panel2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(Wings!$S$6,Wings!$V$6)</c:f>
              <c:numCache>
                <c:formatCode>General</c:formatCode>
                <c:ptCount val="2"/>
                <c:pt idx="0">
                  <c:v>61.625</c:v>
                </c:pt>
                <c:pt idx="1">
                  <c:v>61.625</c:v>
                </c:pt>
              </c:numCache>
            </c:numRef>
          </c:xVal>
          <c:yVal>
            <c:numRef>
              <c:f>(Wings!$R$6,Wings!$U$6)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61-4C0B-AD1E-DBA14DFF1A5E}"/>
            </c:ext>
          </c:extLst>
        </c:ser>
        <c:ser>
          <c:idx val="3"/>
          <c:order val="3"/>
          <c:tx>
            <c:v>Panel3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(Wings!$S$7,Wings!$V$7)</c:f>
              <c:numCache>
                <c:formatCode>General</c:formatCode>
                <c:ptCount val="2"/>
                <c:pt idx="0">
                  <c:v>61.625</c:v>
                </c:pt>
                <c:pt idx="1">
                  <c:v>61.625</c:v>
                </c:pt>
              </c:numCache>
            </c:numRef>
          </c:xVal>
          <c:yVal>
            <c:numRef>
              <c:f>(Wings!$R$7,Wings!$U$7)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61-4C0B-AD1E-DBA14DFF1A5E}"/>
            </c:ext>
          </c:extLst>
        </c:ser>
        <c:ser>
          <c:idx val="4"/>
          <c:order val="4"/>
          <c:tx>
            <c:v>Panel4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(Wings!$S$8,Wings!$V$8)</c:f>
              <c:numCache>
                <c:formatCode>General</c:formatCode>
                <c:ptCount val="2"/>
                <c:pt idx="0">
                  <c:v>61.625</c:v>
                </c:pt>
                <c:pt idx="1">
                  <c:v>61.625</c:v>
                </c:pt>
              </c:numCache>
            </c:numRef>
          </c:xVal>
          <c:yVal>
            <c:numRef>
              <c:f>(Wings!$R$8,Wings!$U$8)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A61-4C0B-AD1E-DBA14DFF1A5E}"/>
            </c:ext>
          </c:extLst>
        </c:ser>
        <c:ser>
          <c:idx val="5"/>
          <c:order val="5"/>
          <c:tx>
            <c:v>Panel5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(Wings!$S$9,Wings!$V$9)</c:f>
              <c:numCache>
                <c:formatCode>General</c:formatCode>
                <c:ptCount val="2"/>
                <c:pt idx="0">
                  <c:v>61.625</c:v>
                </c:pt>
                <c:pt idx="1">
                  <c:v>61.625</c:v>
                </c:pt>
              </c:numCache>
            </c:numRef>
          </c:xVal>
          <c:yVal>
            <c:numRef>
              <c:f>(Wings!$R$9,Wings!$U$9)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61-4C0B-AD1E-DBA14DFF1A5E}"/>
            </c:ext>
          </c:extLst>
        </c:ser>
        <c:ser>
          <c:idx val="6"/>
          <c:order val="6"/>
          <c:tx>
            <c:v>Panel6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(Wings!$S$10,Wings!$V$10)</c:f>
              <c:numCache>
                <c:formatCode>General</c:formatCode>
                <c:ptCount val="2"/>
                <c:pt idx="0">
                  <c:v>61.625</c:v>
                </c:pt>
                <c:pt idx="1">
                  <c:v>61.625</c:v>
                </c:pt>
              </c:numCache>
            </c:numRef>
          </c:xVal>
          <c:yVal>
            <c:numRef>
              <c:f>(Wings!$R$10,Wings!$U$10)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A61-4C0B-AD1E-DBA14DFF1A5E}"/>
            </c:ext>
          </c:extLst>
        </c:ser>
        <c:ser>
          <c:idx val="7"/>
          <c:order val="7"/>
          <c:tx>
            <c:v>Panel7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(Wings!$S$11,Wings!$V$11)</c:f>
              <c:numCache>
                <c:formatCode>General</c:formatCode>
                <c:ptCount val="2"/>
                <c:pt idx="0">
                  <c:v>61.625</c:v>
                </c:pt>
                <c:pt idx="1">
                  <c:v>61.625</c:v>
                </c:pt>
              </c:numCache>
            </c:numRef>
          </c:xVal>
          <c:yVal>
            <c:numRef>
              <c:f>(Wings!$R$11,Wings!$U$11)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A61-4C0B-AD1E-DBA14DFF1A5E}"/>
            </c:ext>
          </c:extLst>
        </c:ser>
        <c:ser>
          <c:idx val="8"/>
          <c:order val="8"/>
          <c:tx>
            <c:v>Panel8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(Wings!$S$12,Wings!$V$12)</c:f>
              <c:numCache>
                <c:formatCode>General</c:formatCode>
                <c:ptCount val="2"/>
                <c:pt idx="0">
                  <c:v>61.625</c:v>
                </c:pt>
                <c:pt idx="1">
                  <c:v>61.625</c:v>
                </c:pt>
              </c:numCache>
            </c:numRef>
          </c:xVal>
          <c:yVal>
            <c:numRef>
              <c:f>(Wings!$R$12,Wings!$U$12)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A61-4C0B-AD1E-DBA14DFF1A5E}"/>
            </c:ext>
          </c:extLst>
        </c:ser>
        <c:ser>
          <c:idx val="9"/>
          <c:order val="9"/>
          <c:tx>
            <c:v>Panel9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(Wings!$S$13,Wings!$V$13)</c:f>
              <c:numCache>
                <c:formatCode>General</c:formatCode>
                <c:ptCount val="2"/>
                <c:pt idx="0">
                  <c:v>61.625</c:v>
                </c:pt>
                <c:pt idx="1">
                  <c:v>61.625</c:v>
                </c:pt>
              </c:numCache>
            </c:numRef>
          </c:xVal>
          <c:yVal>
            <c:numRef>
              <c:f>(Wings!$R$13,Wings!$U$13)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A61-4C0B-AD1E-DBA14DFF1A5E}"/>
            </c:ext>
          </c:extLst>
        </c:ser>
        <c:ser>
          <c:idx val="10"/>
          <c:order val="10"/>
          <c:tx>
            <c:v>MAC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dPt>
            <c:idx val="1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00008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A61-4C0B-AD1E-DBA14DFF1A5E}"/>
              </c:ext>
            </c:extLst>
          </c:dPt>
          <c:xVal>
            <c:numRef>
              <c:f>Wings!$Y$4:$Y$6</c:f>
              <c:numCache>
                <c:formatCode>General</c:formatCode>
                <c:ptCount val="3"/>
                <c:pt idx="0">
                  <c:v>30.8125</c:v>
                </c:pt>
                <c:pt idx="1">
                  <c:v>30.8125</c:v>
                </c:pt>
                <c:pt idx="2">
                  <c:v>30.8125</c:v>
                </c:pt>
              </c:numCache>
            </c:numRef>
          </c:xVal>
          <c:yVal>
            <c:numRef>
              <c:f>Wings!$Z$4:$Z$6</c:f>
              <c:numCache>
                <c:formatCode>General</c:formatCode>
                <c:ptCount val="3"/>
                <c:pt idx="0">
                  <c:v>0</c:v>
                </c:pt>
                <c:pt idx="1">
                  <c:v>-4.125</c:v>
                </c:pt>
                <c:pt idx="2">
                  <c:v>-16.5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A61-4C0B-AD1E-DBA14DFF1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77760"/>
        <c:axId val="101478336"/>
      </c:scatterChart>
      <c:valAx>
        <c:axId val="10147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0.52623726679428851"/>
              <c:y val="0.885295389038644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478336"/>
        <c:crosses val="autoZero"/>
        <c:crossBetween val="midCat"/>
      </c:valAx>
      <c:valAx>
        <c:axId val="1014783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      Front of plane -------&gt;</a:t>
                </a:r>
              </a:p>
            </c:rich>
          </c:tx>
          <c:layout>
            <c:manualLayout>
              <c:xMode val="edge"/>
              <c:yMode val="edge"/>
              <c:x val="2.3988023557574404E-2"/>
              <c:y val="0.191176745141235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4777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44535748143323"/>
          <c:y val="7.9411878750974774E-2"/>
          <c:w val="0.85457333923858825"/>
          <c:h val="0.770589341953903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Wings!$R$45:$AN$45</c:f>
            </c:numRef>
          </c:xVal>
          <c:yVal>
            <c:numRef>
              <c:f>Wings!$R$44:$AN$44</c:f>
            </c:numRef>
          </c:yVal>
          <c:smooth val="0"/>
          <c:extLst>
            <c:ext xmlns:c16="http://schemas.microsoft.com/office/drawing/2014/chart" uri="{C3380CC4-5D6E-409C-BE32-E72D297353CC}">
              <c16:uniqueId val="{00000000-7BBA-4D6B-BB50-8081A7EC4B5D}"/>
            </c:ext>
          </c:extLst>
        </c:ser>
        <c:ser>
          <c:idx val="1"/>
          <c:order val="1"/>
          <c:tx>
            <c:v>Panel1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(Wings!$S$31,Wings!$V$31)</c:f>
            </c:numRef>
          </c:xVal>
          <c:yVal>
            <c:numRef>
              <c:f>(Wings!$R$31,Wings!$U$31)</c:f>
            </c:numRef>
          </c:yVal>
          <c:smooth val="0"/>
          <c:extLst>
            <c:ext xmlns:c16="http://schemas.microsoft.com/office/drawing/2014/chart" uri="{C3380CC4-5D6E-409C-BE32-E72D297353CC}">
              <c16:uniqueId val="{00000001-7BBA-4D6B-BB50-8081A7EC4B5D}"/>
            </c:ext>
          </c:extLst>
        </c:ser>
        <c:ser>
          <c:idx val="2"/>
          <c:order val="2"/>
          <c:tx>
            <c:v>Panel2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(Wings!$S$32,Wings!$V$32)</c:f>
            </c:numRef>
          </c:xVal>
          <c:yVal>
            <c:numRef>
              <c:f>(Wings!$R$32,Wings!$U$32)</c:f>
            </c:numRef>
          </c:yVal>
          <c:smooth val="0"/>
          <c:extLst>
            <c:ext xmlns:c16="http://schemas.microsoft.com/office/drawing/2014/chart" uri="{C3380CC4-5D6E-409C-BE32-E72D297353CC}">
              <c16:uniqueId val="{00000002-7BBA-4D6B-BB50-8081A7EC4B5D}"/>
            </c:ext>
          </c:extLst>
        </c:ser>
        <c:ser>
          <c:idx val="3"/>
          <c:order val="3"/>
          <c:tx>
            <c:v>Panel3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(Wings!$S$33,Wings!$V$33)</c:f>
            </c:numRef>
          </c:xVal>
          <c:yVal>
            <c:numRef>
              <c:f>(Wings!$R$33,Wings!$U$33)</c:f>
            </c:numRef>
          </c:yVal>
          <c:smooth val="0"/>
          <c:extLst>
            <c:ext xmlns:c16="http://schemas.microsoft.com/office/drawing/2014/chart" uri="{C3380CC4-5D6E-409C-BE32-E72D297353CC}">
              <c16:uniqueId val="{00000003-7BBA-4D6B-BB50-8081A7EC4B5D}"/>
            </c:ext>
          </c:extLst>
        </c:ser>
        <c:ser>
          <c:idx val="4"/>
          <c:order val="4"/>
          <c:tx>
            <c:v>Panel4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(Wings!$S$34,Wings!$V$34)</c:f>
            </c:numRef>
          </c:xVal>
          <c:yVal>
            <c:numRef>
              <c:f>(Wings!$R$34,Wings!$U$34)</c:f>
            </c:numRef>
          </c:yVal>
          <c:smooth val="0"/>
          <c:extLst>
            <c:ext xmlns:c16="http://schemas.microsoft.com/office/drawing/2014/chart" uri="{C3380CC4-5D6E-409C-BE32-E72D297353CC}">
              <c16:uniqueId val="{00000004-7BBA-4D6B-BB50-8081A7EC4B5D}"/>
            </c:ext>
          </c:extLst>
        </c:ser>
        <c:ser>
          <c:idx val="5"/>
          <c:order val="5"/>
          <c:tx>
            <c:v>Panel5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(Wings!$S$35,Wings!$V$35)</c:f>
            </c:numRef>
          </c:xVal>
          <c:yVal>
            <c:numRef>
              <c:f>(Wings!$R$35,Wings!$U$35)</c:f>
            </c:numRef>
          </c:yVal>
          <c:smooth val="0"/>
          <c:extLst>
            <c:ext xmlns:c16="http://schemas.microsoft.com/office/drawing/2014/chart" uri="{C3380CC4-5D6E-409C-BE32-E72D297353CC}">
              <c16:uniqueId val="{00000005-7BBA-4D6B-BB50-8081A7EC4B5D}"/>
            </c:ext>
          </c:extLst>
        </c:ser>
        <c:ser>
          <c:idx val="6"/>
          <c:order val="6"/>
          <c:tx>
            <c:v>Panel6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(Wings!$S$36,Wings!$V$36)</c:f>
            </c:numRef>
          </c:xVal>
          <c:yVal>
            <c:numRef>
              <c:f>(Wings!$R$36,Wings!$U$36)</c:f>
            </c:numRef>
          </c:yVal>
          <c:smooth val="0"/>
          <c:extLst>
            <c:ext xmlns:c16="http://schemas.microsoft.com/office/drawing/2014/chart" uri="{C3380CC4-5D6E-409C-BE32-E72D297353CC}">
              <c16:uniqueId val="{00000006-7BBA-4D6B-BB50-8081A7EC4B5D}"/>
            </c:ext>
          </c:extLst>
        </c:ser>
        <c:ser>
          <c:idx val="7"/>
          <c:order val="7"/>
          <c:tx>
            <c:v>Panel7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(Wings!$S$37,Wings!$V$37)</c:f>
            </c:numRef>
          </c:xVal>
          <c:yVal>
            <c:numRef>
              <c:f>(Wings!$R$37,Wings!$U$37)</c:f>
            </c:numRef>
          </c:yVal>
          <c:smooth val="0"/>
          <c:extLst>
            <c:ext xmlns:c16="http://schemas.microsoft.com/office/drawing/2014/chart" uri="{C3380CC4-5D6E-409C-BE32-E72D297353CC}">
              <c16:uniqueId val="{00000007-7BBA-4D6B-BB50-8081A7EC4B5D}"/>
            </c:ext>
          </c:extLst>
        </c:ser>
        <c:ser>
          <c:idx val="8"/>
          <c:order val="8"/>
          <c:tx>
            <c:v>Panel8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(Wings!$S$38,Wings!$V$38)</c:f>
            </c:numRef>
          </c:xVal>
          <c:yVal>
            <c:numRef>
              <c:f>(Wings!$R$38,Wings!$U$38)</c:f>
            </c:numRef>
          </c:yVal>
          <c:smooth val="0"/>
          <c:extLst>
            <c:ext xmlns:c16="http://schemas.microsoft.com/office/drawing/2014/chart" uri="{C3380CC4-5D6E-409C-BE32-E72D297353CC}">
              <c16:uniqueId val="{00000008-7BBA-4D6B-BB50-8081A7EC4B5D}"/>
            </c:ext>
          </c:extLst>
        </c:ser>
        <c:ser>
          <c:idx val="9"/>
          <c:order val="9"/>
          <c:tx>
            <c:v>Panel9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(Wings!$S$39,Wings!$V$39)</c:f>
            </c:numRef>
          </c:xVal>
          <c:yVal>
            <c:numRef>
              <c:f>(Wings!$R$39,Wings!$U$39)</c:f>
            </c:numRef>
          </c:yVal>
          <c:smooth val="0"/>
          <c:extLst>
            <c:ext xmlns:c16="http://schemas.microsoft.com/office/drawing/2014/chart" uri="{C3380CC4-5D6E-409C-BE32-E72D297353CC}">
              <c16:uniqueId val="{00000009-7BBA-4D6B-BB50-8081A7EC4B5D}"/>
            </c:ext>
          </c:extLst>
        </c:ser>
        <c:ser>
          <c:idx val="10"/>
          <c:order val="10"/>
          <c:tx>
            <c:v>MAC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Wings!$Y$30:$Y$32</c:f>
            </c:numRef>
          </c:xVal>
          <c:yVal>
            <c:numRef>
              <c:f>Wings!$Z$30:$Z$32</c:f>
            </c:numRef>
          </c:yVal>
          <c:smooth val="0"/>
          <c:extLst>
            <c:ext xmlns:c16="http://schemas.microsoft.com/office/drawing/2014/chart" uri="{C3380CC4-5D6E-409C-BE32-E72D297353CC}">
              <c16:uniqueId val="{0000000A-7BBA-4D6B-BB50-8081A7EC4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86400"/>
        <c:axId val="101476032"/>
      </c:scatterChart>
      <c:valAx>
        <c:axId val="10908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0.52623726679428851"/>
              <c:y val="0.885295389038644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476032"/>
        <c:crosses val="autoZero"/>
        <c:crossBetween val="midCat"/>
      </c:valAx>
      <c:valAx>
        <c:axId val="1014760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      Front of plane -------&gt;</a:t>
                </a:r>
              </a:p>
            </c:rich>
          </c:tx>
          <c:layout>
            <c:manualLayout>
              <c:xMode val="edge"/>
              <c:yMode val="edge"/>
              <c:x val="2.3988023557574404E-2"/>
              <c:y val="0.191176745141235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0864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44535748143323"/>
          <c:y val="7.9411878750974774E-2"/>
          <c:w val="0.85457333923858825"/>
          <c:h val="0.770589341953903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Wings!$R$71:$AN$71</c:f>
            </c:numRef>
          </c:xVal>
          <c:yVal>
            <c:numRef>
              <c:f>Wings!$R$70:$AN$70</c:f>
            </c:numRef>
          </c:yVal>
          <c:smooth val="0"/>
          <c:extLst>
            <c:ext xmlns:c16="http://schemas.microsoft.com/office/drawing/2014/chart" uri="{C3380CC4-5D6E-409C-BE32-E72D297353CC}">
              <c16:uniqueId val="{00000000-BFA2-4B21-998B-1E1F60FD89C7}"/>
            </c:ext>
          </c:extLst>
        </c:ser>
        <c:ser>
          <c:idx val="1"/>
          <c:order val="1"/>
          <c:tx>
            <c:v>Panel1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(Wings!$S$57,Wings!$V$57)</c:f>
            </c:numRef>
          </c:xVal>
          <c:yVal>
            <c:numRef>
              <c:f>(Wings!$R$57,Wings!$U$57)</c:f>
            </c:numRef>
          </c:yVal>
          <c:smooth val="0"/>
          <c:extLst>
            <c:ext xmlns:c16="http://schemas.microsoft.com/office/drawing/2014/chart" uri="{C3380CC4-5D6E-409C-BE32-E72D297353CC}">
              <c16:uniqueId val="{00000001-BFA2-4B21-998B-1E1F60FD89C7}"/>
            </c:ext>
          </c:extLst>
        </c:ser>
        <c:ser>
          <c:idx val="2"/>
          <c:order val="2"/>
          <c:tx>
            <c:v>Panel2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(Wings!$S$58,Wings!$V$58)</c:f>
            </c:numRef>
          </c:xVal>
          <c:yVal>
            <c:numRef>
              <c:f>(Wings!$R$58,Wings!$U$58)</c:f>
            </c:numRef>
          </c:yVal>
          <c:smooth val="0"/>
          <c:extLst>
            <c:ext xmlns:c16="http://schemas.microsoft.com/office/drawing/2014/chart" uri="{C3380CC4-5D6E-409C-BE32-E72D297353CC}">
              <c16:uniqueId val="{00000002-BFA2-4B21-998B-1E1F60FD89C7}"/>
            </c:ext>
          </c:extLst>
        </c:ser>
        <c:ser>
          <c:idx val="3"/>
          <c:order val="3"/>
          <c:tx>
            <c:v>Panel3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(Wings!$S$59,Wings!$V$59)</c:f>
            </c:numRef>
          </c:xVal>
          <c:yVal>
            <c:numRef>
              <c:f>(Wings!$R$59,Wings!$U$59)</c:f>
            </c:numRef>
          </c:yVal>
          <c:smooth val="0"/>
          <c:extLst>
            <c:ext xmlns:c16="http://schemas.microsoft.com/office/drawing/2014/chart" uri="{C3380CC4-5D6E-409C-BE32-E72D297353CC}">
              <c16:uniqueId val="{00000003-BFA2-4B21-998B-1E1F60FD89C7}"/>
            </c:ext>
          </c:extLst>
        </c:ser>
        <c:ser>
          <c:idx val="4"/>
          <c:order val="4"/>
          <c:tx>
            <c:v>Panel4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(Wings!$S$60,Wings!$V$60)</c:f>
            </c:numRef>
          </c:xVal>
          <c:yVal>
            <c:numRef>
              <c:f>(Wings!$R$60,Wings!$U$60)</c:f>
            </c:numRef>
          </c:yVal>
          <c:smooth val="0"/>
          <c:extLst>
            <c:ext xmlns:c16="http://schemas.microsoft.com/office/drawing/2014/chart" uri="{C3380CC4-5D6E-409C-BE32-E72D297353CC}">
              <c16:uniqueId val="{00000004-BFA2-4B21-998B-1E1F60FD89C7}"/>
            </c:ext>
          </c:extLst>
        </c:ser>
        <c:ser>
          <c:idx val="5"/>
          <c:order val="5"/>
          <c:tx>
            <c:v>Panel5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(Wings!$S$61,Wings!$V$61)</c:f>
            </c:numRef>
          </c:xVal>
          <c:yVal>
            <c:numRef>
              <c:f>(Wings!$R$61,Wings!$U$61)</c:f>
            </c:numRef>
          </c:yVal>
          <c:smooth val="0"/>
          <c:extLst>
            <c:ext xmlns:c16="http://schemas.microsoft.com/office/drawing/2014/chart" uri="{C3380CC4-5D6E-409C-BE32-E72D297353CC}">
              <c16:uniqueId val="{00000005-BFA2-4B21-998B-1E1F60FD89C7}"/>
            </c:ext>
          </c:extLst>
        </c:ser>
        <c:ser>
          <c:idx val="6"/>
          <c:order val="6"/>
          <c:tx>
            <c:v>Panel6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(Wings!$S$62,Wings!$V$62)</c:f>
            </c:numRef>
          </c:xVal>
          <c:yVal>
            <c:numRef>
              <c:f>(Wings!$R$62,Wings!$U$62)</c:f>
            </c:numRef>
          </c:yVal>
          <c:smooth val="0"/>
          <c:extLst>
            <c:ext xmlns:c16="http://schemas.microsoft.com/office/drawing/2014/chart" uri="{C3380CC4-5D6E-409C-BE32-E72D297353CC}">
              <c16:uniqueId val="{00000006-BFA2-4B21-998B-1E1F60FD89C7}"/>
            </c:ext>
          </c:extLst>
        </c:ser>
        <c:ser>
          <c:idx val="7"/>
          <c:order val="7"/>
          <c:tx>
            <c:v>Panel7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(Wings!$S$63,Wings!$V$63)</c:f>
            </c:numRef>
          </c:xVal>
          <c:yVal>
            <c:numRef>
              <c:f>(Wings!$R$63,Wings!$U$63)</c:f>
            </c:numRef>
          </c:yVal>
          <c:smooth val="0"/>
          <c:extLst>
            <c:ext xmlns:c16="http://schemas.microsoft.com/office/drawing/2014/chart" uri="{C3380CC4-5D6E-409C-BE32-E72D297353CC}">
              <c16:uniqueId val="{00000007-BFA2-4B21-998B-1E1F60FD89C7}"/>
            </c:ext>
          </c:extLst>
        </c:ser>
        <c:ser>
          <c:idx val="8"/>
          <c:order val="8"/>
          <c:tx>
            <c:v>Panel8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(Wings!$S$64,Wings!$V$64)</c:f>
            </c:numRef>
          </c:xVal>
          <c:yVal>
            <c:numRef>
              <c:f>(Wings!$R$64,Wings!$U$64)</c:f>
            </c:numRef>
          </c:yVal>
          <c:smooth val="0"/>
          <c:extLst>
            <c:ext xmlns:c16="http://schemas.microsoft.com/office/drawing/2014/chart" uri="{C3380CC4-5D6E-409C-BE32-E72D297353CC}">
              <c16:uniqueId val="{00000008-BFA2-4B21-998B-1E1F60FD89C7}"/>
            </c:ext>
          </c:extLst>
        </c:ser>
        <c:ser>
          <c:idx val="9"/>
          <c:order val="9"/>
          <c:tx>
            <c:v>Panel9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(Wings!$S$65,Wings!$V$65)</c:f>
            </c:numRef>
          </c:xVal>
          <c:yVal>
            <c:numRef>
              <c:f>(Wings!$R$65,Wings!$U$65)</c:f>
            </c:numRef>
          </c:yVal>
          <c:smooth val="0"/>
          <c:extLst>
            <c:ext xmlns:c16="http://schemas.microsoft.com/office/drawing/2014/chart" uri="{C3380CC4-5D6E-409C-BE32-E72D297353CC}">
              <c16:uniqueId val="{00000009-BFA2-4B21-998B-1E1F60FD89C7}"/>
            </c:ext>
          </c:extLst>
        </c:ser>
        <c:ser>
          <c:idx val="10"/>
          <c:order val="10"/>
          <c:tx>
            <c:v>MAC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Wings!$Y$56:$Y$58</c:f>
            </c:numRef>
          </c:xVal>
          <c:yVal>
            <c:numRef>
              <c:f>Wings!$Z$56:$Z$58</c:f>
            </c:numRef>
          </c:yVal>
          <c:smooth val="0"/>
          <c:extLst>
            <c:ext xmlns:c16="http://schemas.microsoft.com/office/drawing/2014/chart" uri="{C3380CC4-5D6E-409C-BE32-E72D297353CC}">
              <c16:uniqueId val="{0000000A-BFA2-4B21-998B-1E1F60FD8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88704"/>
        <c:axId val="109089280"/>
      </c:scatterChart>
      <c:valAx>
        <c:axId val="109088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0.52623726679428851"/>
              <c:y val="0.885295389038644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089280"/>
        <c:crosses val="autoZero"/>
        <c:crossBetween val="midCat"/>
      </c:valAx>
      <c:valAx>
        <c:axId val="109089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      Front of plane -------&gt;</a:t>
                </a:r>
              </a:p>
            </c:rich>
          </c:tx>
          <c:layout>
            <c:manualLayout>
              <c:xMode val="edge"/>
              <c:yMode val="edge"/>
              <c:x val="2.3988023557574404E-2"/>
              <c:y val="0.191176745141235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0887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44535748143323"/>
          <c:y val="7.9411878750974774E-2"/>
          <c:w val="0.85457333923858825"/>
          <c:h val="0.770589341953903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'H. Stab &amp; Canard'!$R$19:$AN$19</c:f>
              <c:numCache>
                <c:formatCode>General</c:formatCode>
                <c:ptCount val="23"/>
                <c:pt idx="0">
                  <c:v>0</c:v>
                </c:pt>
                <c:pt idx="1">
                  <c:v>21.75</c:v>
                </c:pt>
                <c:pt idx="2">
                  <c:v>21.75</c:v>
                </c:pt>
                <c:pt idx="3">
                  <c:v>21.75</c:v>
                </c:pt>
                <c:pt idx="4">
                  <c:v>21.75</c:v>
                </c:pt>
                <c:pt idx="5">
                  <c:v>21.75</c:v>
                </c:pt>
                <c:pt idx="6">
                  <c:v>21.75</c:v>
                </c:pt>
                <c:pt idx="7">
                  <c:v>21.75</c:v>
                </c:pt>
                <c:pt idx="8">
                  <c:v>21.75</c:v>
                </c:pt>
                <c:pt idx="9">
                  <c:v>21.75</c:v>
                </c:pt>
                <c:pt idx="10">
                  <c:v>21.75</c:v>
                </c:pt>
                <c:pt idx="11">
                  <c:v>21.75</c:v>
                </c:pt>
                <c:pt idx="12">
                  <c:v>21.75</c:v>
                </c:pt>
                <c:pt idx="13">
                  <c:v>21.75</c:v>
                </c:pt>
                <c:pt idx="14">
                  <c:v>21.75</c:v>
                </c:pt>
                <c:pt idx="15">
                  <c:v>21.75</c:v>
                </c:pt>
                <c:pt idx="16">
                  <c:v>21.75</c:v>
                </c:pt>
                <c:pt idx="17">
                  <c:v>21.75</c:v>
                </c:pt>
                <c:pt idx="18">
                  <c:v>21.75</c:v>
                </c:pt>
                <c:pt idx="19">
                  <c:v>21.75</c:v>
                </c:pt>
                <c:pt idx="20">
                  <c:v>21.75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'H. Stab &amp; Canard'!$R$18:$AN$18</c:f>
              <c:numCache>
                <c:formatCode>General</c:formatCode>
                <c:ptCount val="23"/>
                <c:pt idx="0">
                  <c:v>-72</c:v>
                </c:pt>
                <c:pt idx="1">
                  <c:v>-72</c:v>
                </c:pt>
                <c:pt idx="2">
                  <c:v>-72</c:v>
                </c:pt>
                <c:pt idx="3">
                  <c:v>-72</c:v>
                </c:pt>
                <c:pt idx="4">
                  <c:v>-72</c:v>
                </c:pt>
                <c:pt idx="5">
                  <c:v>-72</c:v>
                </c:pt>
                <c:pt idx="6">
                  <c:v>-72</c:v>
                </c:pt>
                <c:pt idx="7">
                  <c:v>-72</c:v>
                </c:pt>
                <c:pt idx="8">
                  <c:v>-72</c:v>
                </c:pt>
                <c:pt idx="9">
                  <c:v>-72</c:v>
                </c:pt>
                <c:pt idx="10">
                  <c:v>-72</c:v>
                </c:pt>
                <c:pt idx="11">
                  <c:v>-72</c:v>
                </c:pt>
                <c:pt idx="12">
                  <c:v>-72</c:v>
                </c:pt>
                <c:pt idx="13">
                  <c:v>-72</c:v>
                </c:pt>
                <c:pt idx="14">
                  <c:v>-72</c:v>
                </c:pt>
                <c:pt idx="15">
                  <c:v>-72</c:v>
                </c:pt>
                <c:pt idx="16">
                  <c:v>-72</c:v>
                </c:pt>
                <c:pt idx="17">
                  <c:v>-72</c:v>
                </c:pt>
                <c:pt idx="18">
                  <c:v>-72</c:v>
                </c:pt>
                <c:pt idx="19">
                  <c:v>-72</c:v>
                </c:pt>
                <c:pt idx="20">
                  <c:v>-80.5</c:v>
                </c:pt>
                <c:pt idx="21">
                  <c:v>-80.5</c:v>
                </c:pt>
                <c:pt idx="22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AF-449C-8830-AAA2753A863A}"/>
            </c:ext>
          </c:extLst>
        </c:ser>
        <c:ser>
          <c:idx val="1"/>
          <c:order val="1"/>
          <c:tx>
            <c:v>Panel1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Canard'!$S$5,'H. Stab &amp; Canard'!$V$5)</c:f>
              <c:numCache>
                <c:formatCode>General</c:formatCode>
                <c:ptCount val="2"/>
                <c:pt idx="0">
                  <c:v>21.75</c:v>
                </c:pt>
                <c:pt idx="1">
                  <c:v>21.75</c:v>
                </c:pt>
              </c:numCache>
            </c:numRef>
          </c:xVal>
          <c:yVal>
            <c:numRef>
              <c:f>('H. Stab &amp; Canard'!$R$5,'H. Stab &amp; Canard'!$U$5)</c:f>
              <c:numCache>
                <c:formatCode>General</c:formatCode>
                <c:ptCount val="2"/>
                <c:pt idx="0">
                  <c:v>-72</c:v>
                </c:pt>
                <c:pt idx="1">
                  <c:v>-80.5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AF-449C-8830-AAA2753A863A}"/>
            </c:ext>
          </c:extLst>
        </c:ser>
        <c:ser>
          <c:idx val="2"/>
          <c:order val="2"/>
          <c:tx>
            <c:v>Panel2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Canard'!$S$6,'H. Stab &amp; Canard'!$V$6)</c:f>
              <c:numCache>
                <c:formatCode>General</c:formatCode>
                <c:ptCount val="2"/>
                <c:pt idx="0">
                  <c:v>21.75</c:v>
                </c:pt>
                <c:pt idx="1">
                  <c:v>21.75</c:v>
                </c:pt>
              </c:numCache>
            </c:numRef>
          </c:xVal>
          <c:yVal>
            <c:numRef>
              <c:f>('H. Stab &amp; Canard'!$R$6,'H. Stab &amp; Canard'!$U$6)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AF-449C-8830-AAA2753A863A}"/>
            </c:ext>
          </c:extLst>
        </c:ser>
        <c:ser>
          <c:idx val="3"/>
          <c:order val="3"/>
          <c:tx>
            <c:v>Panel3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Canard'!$S$7,'H. Stab &amp; Canard'!$V$7)</c:f>
              <c:numCache>
                <c:formatCode>General</c:formatCode>
                <c:ptCount val="2"/>
                <c:pt idx="0">
                  <c:v>21.75</c:v>
                </c:pt>
                <c:pt idx="1">
                  <c:v>21.75</c:v>
                </c:pt>
              </c:numCache>
            </c:numRef>
          </c:xVal>
          <c:yVal>
            <c:numRef>
              <c:f>('H. Stab &amp; Canard'!$R$7,'H. Stab &amp; Canard'!$U$7)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AF-449C-8830-AAA2753A863A}"/>
            </c:ext>
          </c:extLst>
        </c:ser>
        <c:ser>
          <c:idx val="4"/>
          <c:order val="4"/>
          <c:tx>
            <c:v>Panel4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Canard'!$S$8,'H. Stab &amp; Canard'!$V$8)</c:f>
              <c:numCache>
                <c:formatCode>General</c:formatCode>
                <c:ptCount val="2"/>
                <c:pt idx="0">
                  <c:v>21.75</c:v>
                </c:pt>
                <c:pt idx="1">
                  <c:v>21.75</c:v>
                </c:pt>
              </c:numCache>
            </c:numRef>
          </c:xVal>
          <c:yVal>
            <c:numRef>
              <c:f>('H. Stab &amp; Canard'!$R$8,'H. Stab &amp; Canard'!$U$8)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AF-449C-8830-AAA2753A863A}"/>
            </c:ext>
          </c:extLst>
        </c:ser>
        <c:ser>
          <c:idx val="5"/>
          <c:order val="5"/>
          <c:tx>
            <c:v>Panel5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Canard'!$S$9,'H. Stab &amp; Canard'!$V$9)</c:f>
              <c:numCache>
                <c:formatCode>General</c:formatCode>
                <c:ptCount val="2"/>
                <c:pt idx="0">
                  <c:v>21.75</c:v>
                </c:pt>
                <c:pt idx="1">
                  <c:v>21.75</c:v>
                </c:pt>
              </c:numCache>
            </c:numRef>
          </c:xVal>
          <c:yVal>
            <c:numRef>
              <c:f>('H. Stab &amp; Canard'!$R$9,'H. Stab &amp; Canard'!$U$9)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0AF-449C-8830-AAA2753A863A}"/>
            </c:ext>
          </c:extLst>
        </c:ser>
        <c:ser>
          <c:idx val="6"/>
          <c:order val="6"/>
          <c:tx>
            <c:v>Panel6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Canard'!$S$10,'H. Stab &amp; Canard'!$V$10)</c:f>
              <c:numCache>
                <c:formatCode>General</c:formatCode>
                <c:ptCount val="2"/>
                <c:pt idx="0">
                  <c:v>21.75</c:v>
                </c:pt>
                <c:pt idx="1">
                  <c:v>21.75</c:v>
                </c:pt>
              </c:numCache>
            </c:numRef>
          </c:xVal>
          <c:yVal>
            <c:numRef>
              <c:f>('H. Stab &amp; Canard'!$R$10,'H. Stab &amp; Canard'!$U$10)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0AF-449C-8830-AAA2753A863A}"/>
            </c:ext>
          </c:extLst>
        </c:ser>
        <c:ser>
          <c:idx val="7"/>
          <c:order val="7"/>
          <c:tx>
            <c:v>Panel7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Canard'!$S$11,'H. Stab &amp; Canard'!$V$11)</c:f>
              <c:numCache>
                <c:formatCode>General</c:formatCode>
                <c:ptCount val="2"/>
                <c:pt idx="0">
                  <c:v>21.75</c:v>
                </c:pt>
                <c:pt idx="1">
                  <c:v>21.75</c:v>
                </c:pt>
              </c:numCache>
            </c:numRef>
          </c:xVal>
          <c:yVal>
            <c:numRef>
              <c:f>('H. Stab &amp; Canard'!$R$11,'H. Stab &amp; Canard'!$U$11)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0AF-449C-8830-AAA2753A863A}"/>
            </c:ext>
          </c:extLst>
        </c:ser>
        <c:ser>
          <c:idx val="8"/>
          <c:order val="8"/>
          <c:tx>
            <c:v>Panel8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Canard'!$S$12,'H. Stab &amp; Canard'!$V$12)</c:f>
              <c:numCache>
                <c:formatCode>General</c:formatCode>
                <c:ptCount val="2"/>
                <c:pt idx="0">
                  <c:v>21.75</c:v>
                </c:pt>
                <c:pt idx="1">
                  <c:v>21.75</c:v>
                </c:pt>
              </c:numCache>
            </c:numRef>
          </c:xVal>
          <c:yVal>
            <c:numRef>
              <c:f>('H. Stab &amp; Canard'!$R$12,'H. Stab &amp; Canard'!$U$12)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0AF-449C-8830-AAA2753A863A}"/>
            </c:ext>
          </c:extLst>
        </c:ser>
        <c:ser>
          <c:idx val="9"/>
          <c:order val="9"/>
          <c:tx>
            <c:v>Panel9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Canard'!$S$13,'H. Stab &amp; Canard'!$V$13)</c:f>
              <c:numCache>
                <c:formatCode>General</c:formatCode>
                <c:ptCount val="2"/>
                <c:pt idx="0">
                  <c:v>21.75</c:v>
                </c:pt>
                <c:pt idx="1">
                  <c:v>21.75</c:v>
                </c:pt>
              </c:numCache>
            </c:numRef>
          </c:xVal>
          <c:yVal>
            <c:numRef>
              <c:f>('H. Stab &amp; Canard'!$R$13,'H. Stab &amp; Canard'!$U$13)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0AF-449C-8830-AAA2753A863A}"/>
            </c:ext>
          </c:extLst>
        </c:ser>
        <c:ser>
          <c:idx val="10"/>
          <c:order val="10"/>
          <c:tx>
            <c:v>MAC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dPt>
            <c:idx val="1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00008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20AF-449C-8830-AAA2753A863A}"/>
              </c:ext>
            </c:extLst>
          </c:dPt>
          <c:xVal>
            <c:numRef>
              <c:f>'H. Stab &amp; Canard'!$Y$4:$Y$6</c:f>
              <c:numCache>
                <c:formatCode>General</c:formatCode>
                <c:ptCount val="3"/>
                <c:pt idx="0">
                  <c:v>10.875</c:v>
                </c:pt>
                <c:pt idx="1">
                  <c:v>10.875</c:v>
                </c:pt>
                <c:pt idx="2">
                  <c:v>10.875</c:v>
                </c:pt>
              </c:numCache>
            </c:numRef>
          </c:xVal>
          <c:yVal>
            <c:numRef>
              <c:f>'H. Stab &amp; Canard'!$Z$4:$Z$6</c:f>
              <c:numCache>
                <c:formatCode>General</c:formatCode>
                <c:ptCount val="3"/>
                <c:pt idx="0">
                  <c:v>-72</c:v>
                </c:pt>
                <c:pt idx="1">
                  <c:v>-74.125</c:v>
                </c:pt>
                <c:pt idx="2">
                  <c:v>-80.5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0AF-449C-8830-AAA2753A8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56864"/>
        <c:axId val="121357440"/>
      </c:scatterChart>
      <c:valAx>
        <c:axId val="121356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0.52623726679428851"/>
              <c:y val="0.885295389038644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357440"/>
        <c:crosses val="autoZero"/>
        <c:crossBetween val="midCat"/>
      </c:valAx>
      <c:valAx>
        <c:axId val="1213574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      Front of plane -------&gt;</a:t>
                </a:r>
              </a:p>
            </c:rich>
          </c:tx>
          <c:layout>
            <c:manualLayout>
              <c:xMode val="edge"/>
              <c:yMode val="edge"/>
              <c:x val="2.3988023557574404E-2"/>
              <c:y val="0.191176745141235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3568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491001196912"/>
          <c:y val="7.9411878750974774E-2"/>
          <c:w val="0.86206959660033022"/>
          <c:h val="0.711765728064292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'H. Stab &amp; Canard'!$R$45:$AN$45</c:f>
            </c:numRef>
          </c:xVal>
          <c:yVal>
            <c:numRef>
              <c:f>'H. Stab &amp; Canard'!$R$44:$AN$44</c:f>
            </c:numRef>
          </c:yVal>
          <c:smooth val="0"/>
          <c:extLst>
            <c:ext xmlns:c16="http://schemas.microsoft.com/office/drawing/2014/chart" uri="{C3380CC4-5D6E-409C-BE32-E72D297353CC}">
              <c16:uniqueId val="{00000000-FFBA-4DC1-962C-1EF2AE8855B7}"/>
            </c:ext>
          </c:extLst>
        </c:ser>
        <c:ser>
          <c:idx val="1"/>
          <c:order val="1"/>
          <c:tx>
            <c:v>Panel1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Canard'!$S$31,'H. Stab &amp; Canard'!$V$31)</c:f>
            </c:numRef>
          </c:xVal>
          <c:yVal>
            <c:numRef>
              <c:f>('H. Stab &amp; Canard'!$R$31,'H. Stab &amp; Canard'!$U$31)</c:f>
            </c:numRef>
          </c:yVal>
          <c:smooth val="0"/>
          <c:extLst>
            <c:ext xmlns:c16="http://schemas.microsoft.com/office/drawing/2014/chart" uri="{C3380CC4-5D6E-409C-BE32-E72D297353CC}">
              <c16:uniqueId val="{00000001-FFBA-4DC1-962C-1EF2AE8855B7}"/>
            </c:ext>
          </c:extLst>
        </c:ser>
        <c:ser>
          <c:idx val="2"/>
          <c:order val="2"/>
          <c:tx>
            <c:v>Panel2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Canard'!$S$32,'H. Stab &amp; Canard'!$V$32)</c:f>
            </c:numRef>
          </c:xVal>
          <c:yVal>
            <c:numRef>
              <c:f>('H. Stab &amp; Canard'!$R$32,'H. Stab &amp; Canard'!$U$32)</c:f>
            </c:numRef>
          </c:yVal>
          <c:smooth val="0"/>
          <c:extLst>
            <c:ext xmlns:c16="http://schemas.microsoft.com/office/drawing/2014/chart" uri="{C3380CC4-5D6E-409C-BE32-E72D297353CC}">
              <c16:uniqueId val="{00000002-FFBA-4DC1-962C-1EF2AE8855B7}"/>
            </c:ext>
          </c:extLst>
        </c:ser>
        <c:ser>
          <c:idx val="3"/>
          <c:order val="3"/>
          <c:tx>
            <c:v>Panel3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Canard'!$S$33,'H. Stab &amp; Canard'!$V$33)</c:f>
            </c:numRef>
          </c:xVal>
          <c:yVal>
            <c:numRef>
              <c:f>('H. Stab &amp; Canard'!$R$33,'H. Stab &amp; Canard'!$U$33)</c:f>
            </c:numRef>
          </c:yVal>
          <c:smooth val="0"/>
          <c:extLst>
            <c:ext xmlns:c16="http://schemas.microsoft.com/office/drawing/2014/chart" uri="{C3380CC4-5D6E-409C-BE32-E72D297353CC}">
              <c16:uniqueId val="{00000003-FFBA-4DC1-962C-1EF2AE8855B7}"/>
            </c:ext>
          </c:extLst>
        </c:ser>
        <c:ser>
          <c:idx val="4"/>
          <c:order val="4"/>
          <c:tx>
            <c:v>Panel4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Canard'!$S$34,'H. Stab &amp; Canard'!$V$34)</c:f>
            </c:numRef>
          </c:xVal>
          <c:yVal>
            <c:numRef>
              <c:f>('H. Stab &amp; Canard'!$R$34,'H. Stab &amp; Canard'!$U$34)</c:f>
            </c:numRef>
          </c:yVal>
          <c:smooth val="0"/>
          <c:extLst>
            <c:ext xmlns:c16="http://schemas.microsoft.com/office/drawing/2014/chart" uri="{C3380CC4-5D6E-409C-BE32-E72D297353CC}">
              <c16:uniqueId val="{00000004-FFBA-4DC1-962C-1EF2AE8855B7}"/>
            </c:ext>
          </c:extLst>
        </c:ser>
        <c:ser>
          <c:idx val="5"/>
          <c:order val="5"/>
          <c:tx>
            <c:v>Panel5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Canard'!$S$35,'H. Stab &amp; Canard'!$V$35)</c:f>
            </c:numRef>
          </c:xVal>
          <c:yVal>
            <c:numRef>
              <c:f>('H. Stab &amp; Canard'!$R$35,'H. Stab &amp; Canard'!$U$35)</c:f>
            </c:numRef>
          </c:yVal>
          <c:smooth val="0"/>
          <c:extLst>
            <c:ext xmlns:c16="http://schemas.microsoft.com/office/drawing/2014/chart" uri="{C3380CC4-5D6E-409C-BE32-E72D297353CC}">
              <c16:uniqueId val="{00000005-FFBA-4DC1-962C-1EF2AE8855B7}"/>
            </c:ext>
          </c:extLst>
        </c:ser>
        <c:ser>
          <c:idx val="6"/>
          <c:order val="6"/>
          <c:tx>
            <c:v>Panel6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Canard'!$S$36,'H. Stab &amp; Canard'!$V$36)</c:f>
            </c:numRef>
          </c:xVal>
          <c:yVal>
            <c:numRef>
              <c:f>('H. Stab &amp; Canard'!$R$36,'H. Stab &amp; Canard'!$U$36)</c:f>
            </c:numRef>
          </c:yVal>
          <c:smooth val="0"/>
          <c:extLst>
            <c:ext xmlns:c16="http://schemas.microsoft.com/office/drawing/2014/chart" uri="{C3380CC4-5D6E-409C-BE32-E72D297353CC}">
              <c16:uniqueId val="{00000006-FFBA-4DC1-962C-1EF2AE8855B7}"/>
            </c:ext>
          </c:extLst>
        </c:ser>
        <c:ser>
          <c:idx val="7"/>
          <c:order val="7"/>
          <c:tx>
            <c:v>Panel7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Canard'!$S$37,'H. Stab &amp; Canard'!$V$37)</c:f>
            </c:numRef>
          </c:xVal>
          <c:yVal>
            <c:numRef>
              <c:f>('H. Stab &amp; Canard'!$R$37,'H. Stab &amp; Canard'!$U$37)</c:f>
            </c:numRef>
          </c:yVal>
          <c:smooth val="0"/>
          <c:extLst>
            <c:ext xmlns:c16="http://schemas.microsoft.com/office/drawing/2014/chart" uri="{C3380CC4-5D6E-409C-BE32-E72D297353CC}">
              <c16:uniqueId val="{00000007-FFBA-4DC1-962C-1EF2AE8855B7}"/>
            </c:ext>
          </c:extLst>
        </c:ser>
        <c:ser>
          <c:idx val="8"/>
          <c:order val="8"/>
          <c:tx>
            <c:v>Panel8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Canard'!$S$38,'H. Stab &amp; Canard'!$V$38)</c:f>
            </c:numRef>
          </c:xVal>
          <c:yVal>
            <c:numRef>
              <c:f>('H. Stab &amp; Canard'!$R$38,'H. Stab &amp; Canard'!$U$38)</c:f>
            </c:numRef>
          </c:yVal>
          <c:smooth val="0"/>
          <c:extLst>
            <c:ext xmlns:c16="http://schemas.microsoft.com/office/drawing/2014/chart" uri="{C3380CC4-5D6E-409C-BE32-E72D297353CC}">
              <c16:uniqueId val="{00000008-FFBA-4DC1-962C-1EF2AE8855B7}"/>
            </c:ext>
          </c:extLst>
        </c:ser>
        <c:ser>
          <c:idx val="9"/>
          <c:order val="9"/>
          <c:tx>
            <c:v>Panel9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('H. Stab &amp; Canard'!$S$39,'H. Stab &amp; Canard'!$V$39)</c:f>
            </c:numRef>
          </c:xVal>
          <c:yVal>
            <c:numRef>
              <c:f>('H. Stab &amp; Canard'!$R$39,'H. Stab &amp; Canard'!$U$39)</c:f>
            </c:numRef>
          </c:yVal>
          <c:smooth val="0"/>
          <c:extLst>
            <c:ext xmlns:c16="http://schemas.microsoft.com/office/drawing/2014/chart" uri="{C3380CC4-5D6E-409C-BE32-E72D297353CC}">
              <c16:uniqueId val="{00000009-FFBA-4DC1-962C-1EF2AE8855B7}"/>
            </c:ext>
          </c:extLst>
        </c:ser>
        <c:ser>
          <c:idx val="10"/>
          <c:order val="10"/>
          <c:tx>
            <c:v>MAC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'H. Stab &amp; Canard'!$Y$30:$Y$32</c:f>
            </c:numRef>
          </c:xVal>
          <c:yVal>
            <c:numRef>
              <c:f>'H. Stab &amp; Canard'!$Z$30:$Z$32</c:f>
            </c:numRef>
          </c:yVal>
          <c:smooth val="0"/>
          <c:extLst>
            <c:ext xmlns:c16="http://schemas.microsoft.com/office/drawing/2014/chart" uri="{C3380CC4-5D6E-409C-BE32-E72D297353CC}">
              <c16:uniqueId val="{0000000A-FFBA-4DC1-962C-1EF2AE885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59168"/>
        <c:axId val="121356288"/>
      </c:scatterChart>
      <c:valAx>
        <c:axId val="12135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0.52173951237724325"/>
              <c:y val="0.885295389038644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356288"/>
        <c:crosses val="autoZero"/>
        <c:crossBetween val="midCat"/>
      </c:valAx>
      <c:valAx>
        <c:axId val="121356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      Front of plane -------&gt;</a:t>
                </a:r>
              </a:p>
            </c:rich>
          </c:tx>
          <c:layout>
            <c:manualLayout>
              <c:xMode val="edge"/>
              <c:yMode val="edge"/>
              <c:x val="2.3988023557574404E-2"/>
              <c:y val="0.161764938196430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3591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61076562116829E-2"/>
          <c:y val="7.9411878750974774E-2"/>
          <c:w val="0.88305911721320773"/>
          <c:h val="0.711765728064292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'V. Stab &amp; V-Tail'!$R$18:$AN$18</c:f>
              <c:numCache>
                <c:formatCode>General</c:formatCode>
                <c:ptCount val="23"/>
                <c:pt idx="0">
                  <c:v>-72</c:v>
                </c:pt>
                <c:pt idx="1">
                  <c:v>-72</c:v>
                </c:pt>
                <c:pt idx="2">
                  <c:v>-72</c:v>
                </c:pt>
                <c:pt idx="3">
                  <c:v>-72</c:v>
                </c:pt>
                <c:pt idx="4">
                  <c:v>-72</c:v>
                </c:pt>
                <c:pt idx="5">
                  <c:v>-72</c:v>
                </c:pt>
                <c:pt idx="6">
                  <c:v>-72</c:v>
                </c:pt>
                <c:pt idx="7">
                  <c:v>-72</c:v>
                </c:pt>
                <c:pt idx="8">
                  <c:v>-72</c:v>
                </c:pt>
                <c:pt idx="9">
                  <c:v>-72</c:v>
                </c:pt>
                <c:pt idx="10">
                  <c:v>-72</c:v>
                </c:pt>
                <c:pt idx="11">
                  <c:v>-72</c:v>
                </c:pt>
                <c:pt idx="12">
                  <c:v>-72</c:v>
                </c:pt>
                <c:pt idx="13">
                  <c:v>-72</c:v>
                </c:pt>
                <c:pt idx="14">
                  <c:v>-72</c:v>
                </c:pt>
                <c:pt idx="15">
                  <c:v>-72</c:v>
                </c:pt>
                <c:pt idx="16">
                  <c:v>-72</c:v>
                </c:pt>
                <c:pt idx="17">
                  <c:v>-72</c:v>
                </c:pt>
                <c:pt idx="18">
                  <c:v>-72</c:v>
                </c:pt>
                <c:pt idx="19">
                  <c:v>-72</c:v>
                </c:pt>
                <c:pt idx="20">
                  <c:v>-81</c:v>
                </c:pt>
                <c:pt idx="21">
                  <c:v>-81</c:v>
                </c:pt>
                <c:pt idx="22">
                  <c:v>-72</c:v>
                </c:pt>
              </c:numCache>
            </c:numRef>
          </c:xVal>
          <c:yVal>
            <c:numRef>
              <c:f>'V. Stab &amp; V-Tail'!$R$19:$AN$19</c:f>
              <c:numCache>
                <c:formatCode>General</c:formatCode>
                <c:ptCount val="23"/>
                <c:pt idx="0">
                  <c:v>0</c:v>
                </c:pt>
                <c:pt idx="1">
                  <c:v>19.75</c:v>
                </c:pt>
                <c:pt idx="2">
                  <c:v>19.75</c:v>
                </c:pt>
                <c:pt idx="3">
                  <c:v>19.75</c:v>
                </c:pt>
                <c:pt idx="4">
                  <c:v>19.75</c:v>
                </c:pt>
                <c:pt idx="5">
                  <c:v>19.75</c:v>
                </c:pt>
                <c:pt idx="6">
                  <c:v>19.75</c:v>
                </c:pt>
                <c:pt idx="7">
                  <c:v>19.75</c:v>
                </c:pt>
                <c:pt idx="8">
                  <c:v>19.75</c:v>
                </c:pt>
                <c:pt idx="9">
                  <c:v>19.75</c:v>
                </c:pt>
                <c:pt idx="10">
                  <c:v>19.75</c:v>
                </c:pt>
                <c:pt idx="11">
                  <c:v>19.75</c:v>
                </c:pt>
                <c:pt idx="12">
                  <c:v>19.75</c:v>
                </c:pt>
                <c:pt idx="13">
                  <c:v>19.75</c:v>
                </c:pt>
                <c:pt idx="14">
                  <c:v>19.75</c:v>
                </c:pt>
                <c:pt idx="15">
                  <c:v>19.75</c:v>
                </c:pt>
                <c:pt idx="16">
                  <c:v>19.75</c:v>
                </c:pt>
                <c:pt idx="17">
                  <c:v>19.75</c:v>
                </c:pt>
                <c:pt idx="18">
                  <c:v>19.75</c:v>
                </c:pt>
                <c:pt idx="19">
                  <c:v>19.75</c:v>
                </c:pt>
                <c:pt idx="20">
                  <c:v>19.75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2-4B20-BC6A-3D0491A19A1A}"/>
            </c:ext>
          </c:extLst>
        </c:ser>
        <c:ser>
          <c:idx val="1"/>
          <c:order val="1"/>
          <c:tx>
            <c:v>Panel1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('V. Stab &amp; V-Tail'!$S$18,'V. Stab &amp; V-Tail'!$AL$18)</c:f>
              <c:numCache>
                <c:formatCode>General</c:formatCode>
                <c:ptCount val="2"/>
                <c:pt idx="0">
                  <c:v>-72</c:v>
                </c:pt>
                <c:pt idx="1">
                  <c:v>-81</c:v>
                </c:pt>
              </c:numCache>
            </c:numRef>
          </c:xVal>
          <c:yVal>
            <c:numRef>
              <c:f>('V. Stab &amp; V-Tail'!$S$19,'V. Stab &amp; V-Tail'!$AL$19)</c:f>
              <c:numCache>
                <c:formatCode>General</c:formatCode>
                <c:ptCount val="2"/>
                <c:pt idx="0">
                  <c:v>19.75</c:v>
                </c:pt>
                <c:pt idx="1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52-4B20-BC6A-3D0491A19A1A}"/>
            </c:ext>
          </c:extLst>
        </c:ser>
        <c:ser>
          <c:idx val="2"/>
          <c:order val="2"/>
          <c:tx>
            <c:v>Panel2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('V. Stab &amp; V-Tail'!$T$18,'V. Stab &amp; V-Tail'!$AK$18)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xVal>
          <c:yVal>
            <c:numRef>
              <c:f>('V. Stab &amp; V-Tail'!$T$19,'V. Stab &amp; V-Tail'!$AK$19)</c:f>
              <c:numCache>
                <c:formatCode>General</c:formatCode>
                <c:ptCount val="2"/>
                <c:pt idx="0">
                  <c:v>19.75</c:v>
                </c:pt>
                <c:pt idx="1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52-4B20-BC6A-3D0491A19A1A}"/>
            </c:ext>
          </c:extLst>
        </c:ser>
        <c:ser>
          <c:idx val="3"/>
          <c:order val="3"/>
          <c:tx>
            <c:v>Panel3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('V. Stab &amp; V-Tail'!$U$18,'V. Stab &amp; V-Tail'!$AJ$18)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xVal>
          <c:yVal>
            <c:numRef>
              <c:f>('V. Stab &amp; V-Tail'!$U$19,'V. Stab &amp; V-Tail'!$AJ$19)</c:f>
              <c:numCache>
                <c:formatCode>General</c:formatCode>
                <c:ptCount val="2"/>
                <c:pt idx="0">
                  <c:v>19.75</c:v>
                </c:pt>
                <c:pt idx="1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52-4B20-BC6A-3D0491A19A1A}"/>
            </c:ext>
          </c:extLst>
        </c:ser>
        <c:ser>
          <c:idx val="4"/>
          <c:order val="4"/>
          <c:tx>
            <c:v>Panel4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('V. Stab &amp; V-Tail'!$V$18,'V. Stab &amp; V-Tail'!$AI$18)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xVal>
          <c:yVal>
            <c:numRef>
              <c:f>('V. Stab &amp; V-Tail'!$V$19,'V. Stab &amp; V-Tail'!$AI$19)</c:f>
              <c:numCache>
                <c:formatCode>General</c:formatCode>
                <c:ptCount val="2"/>
                <c:pt idx="0">
                  <c:v>19.75</c:v>
                </c:pt>
                <c:pt idx="1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52-4B20-BC6A-3D0491A19A1A}"/>
            </c:ext>
          </c:extLst>
        </c:ser>
        <c:ser>
          <c:idx val="5"/>
          <c:order val="5"/>
          <c:tx>
            <c:v>Panel5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('V. Stab &amp; V-Tail'!$W$18,'V. Stab &amp; V-Tail'!$AH$18)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xVal>
          <c:yVal>
            <c:numRef>
              <c:f>('V. Stab &amp; V-Tail'!$W$19,'V. Stab &amp; V-Tail'!$AH$19)</c:f>
              <c:numCache>
                <c:formatCode>General</c:formatCode>
                <c:ptCount val="2"/>
                <c:pt idx="0">
                  <c:v>19.75</c:v>
                </c:pt>
                <c:pt idx="1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52-4B20-BC6A-3D0491A19A1A}"/>
            </c:ext>
          </c:extLst>
        </c:ser>
        <c:ser>
          <c:idx val="6"/>
          <c:order val="6"/>
          <c:tx>
            <c:v>Panel6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('V. Stab &amp; V-Tail'!$X$18,'V. Stab &amp; V-Tail'!$AG$18)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xVal>
          <c:yVal>
            <c:numRef>
              <c:f>('V. Stab &amp; V-Tail'!$X$19,'V. Stab &amp; V-Tail'!$AG$19)</c:f>
              <c:numCache>
                <c:formatCode>General</c:formatCode>
                <c:ptCount val="2"/>
                <c:pt idx="0">
                  <c:v>19.75</c:v>
                </c:pt>
                <c:pt idx="1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52-4B20-BC6A-3D0491A19A1A}"/>
            </c:ext>
          </c:extLst>
        </c:ser>
        <c:ser>
          <c:idx val="7"/>
          <c:order val="7"/>
          <c:tx>
            <c:v>Panel7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('V. Stab &amp; V-Tail'!$Y$18,'V. Stab &amp; V-Tail'!$AF$18)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xVal>
          <c:yVal>
            <c:numRef>
              <c:f>('V. Stab &amp; V-Tail'!$Y$19,'V. Stab &amp; V-Tail'!$AF$19)</c:f>
              <c:numCache>
                <c:formatCode>General</c:formatCode>
                <c:ptCount val="2"/>
                <c:pt idx="0">
                  <c:v>19.75</c:v>
                </c:pt>
                <c:pt idx="1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52-4B20-BC6A-3D0491A19A1A}"/>
            </c:ext>
          </c:extLst>
        </c:ser>
        <c:ser>
          <c:idx val="8"/>
          <c:order val="8"/>
          <c:tx>
            <c:v>Panel8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('V. Stab &amp; V-Tail'!$Z$18,'V. Stab &amp; V-Tail'!$AE$18)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xVal>
          <c:yVal>
            <c:numRef>
              <c:f>('V. Stab &amp; V-Tail'!$Z$19,'V. Stab &amp; V-Tail'!$AE$19)</c:f>
              <c:numCache>
                <c:formatCode>General</c:formatCode>
                <c:ptCount val="2"/>
                <c:pt idx="0">
                  <c:v>19.75</c:v>
                </c:pt>
                <c:pt idx="1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C52-4B20-BC6A-3D0491A19A1A}"/>
            </c:ext>
          </c:extLst>
        </c:ser>
        <c:ser>
          <c:idx val="9"/>
          <c:order val="9"/>
          <c:tx>
            <c:v>Panel9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('V. Stab &amp; V-Tail'!$AA$18,'V. Stab &amp; V-Tail'!$AD$18)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xVal>
          <c:yVal>
            <c:numRef>
              <c:f>('V. Stab &amp; V-Tail'!$AA$19,'V. Stab &amp; V-Tail'!$AD$19)</c:f>
              <c:numCache>
                <c:formatCode>General</c:formatCode>
                <c:ptCount val="2"/>
                <c:pt idx="0">
                  <c:v>19.75</c:v>
                </c:pt>
                <c:pt idx="1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C52-4B20-BC6A-3D0491A19A1A}"/>
            </c:ext>
          </c:extLst>
        </c:ser>
        <c:ser>
          <c:idx val="10"/>
          <c:order val="10"/>
          <c:tx>
            <c:v>MAC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dPt>
            <c:idx val="1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00008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8C52-4B20-BC6A-3D0491A19A1A}"/>
              </c:ext>
            </c:extLst>
          </c:dPt>
          <c:xVal>
            <c:numRef>
              <c:f>'V. Stab &amp; V-Tail'!$Y$4:$Y$6</c:f>
              <c:numCache>
                <c:formatCode>General</c:formatCode>
                <c:ptCount val="3"/>
                <c:pt idx="0">
                  <c:v>-72</c:v>
                </c:pt>
                <c:pt idx="1">
                  <c:v>-74.25</c:v>
                </c:pt>
                <c:pt idx="2">
                  <c:v>-81</c:v>
                </c:pt>
              </c:numCache>
            </c:numRef>
          </c:xVal>
          <c:yVal>
            <c:numRef>
              <c:f>'V. Stab &amp; V-Tail'!$Z$4:$Z$6</c:f>
              <c:numCache>
                <c:formatCode>General</c:formatCode>
                <c:ptCount val="3"/>
                <c:pt idx="0">
                  <c:v>9.875</c:v>
                </c:pt>
                <c:pt idx="1">
                  <c:v>9.875</c:v>
                </c:pt>
                <c:pt idx="2">
                  <c:v>9.875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C52-4B20-BC6A-3D0491A19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63776"/>
        <c:axId val="124413056"/>
      </c:scatterChart>
      <c:valAx>
        <c:axId val="121363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                             X (Side View)       Front of plane -------&gt;   </a:t>
                </a:r>
              </a:p>
            </c:rich>
          </c:tx>
          <c:layout>
            <c:manualLayout>
              <c:xMode val="edge"/>
              <c:yMode val="edge"/>
              <c:x val="0.23088472674165361"/>
              <c:y val="0.885295389038644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413056"/>
        <c:crosses val="autoZero"/>
        <c:crossBetween val="midCat"/>
      </c:valAx>
      <c:valAx>
        <c:axId val="1244130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</a:t>
                </a:r>
              </a:p>
            </c:rich>
          </c:tx>
          <c:layout>
            <c:manualLayout>
              <c:xMode val="edge"/>
              <c:yMode val="edge"/>
              <c:x val="2.3988023557574404E-2"/>
              <c:y val="0.417647658616237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3637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56287425149712E-2"/>
          <c:y val="7.8717313225038207E-2"/>
          <c:w val="0.89520958083832336"/>
          <c:h val="0.77259585202352332"/>
        </c:manualLayout>
      </c:layout>
      <c:scatterChart>
        <c:scatterStyle val="lineMarker"/>
        <c:varyColors val="0"/>
        <c:ser>
          <c:idx val="0"/>
          <c:order val="0"/>
          <c:tx>
            <c:v>Left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'V. Stab &amp; V-Tail'!$R$20:$AB$20</c:f>
              <c:numCache>
                <c:formatCode>General</c:formatCode>
                <c:ptCount val="11"/>
                <c:pt idx="0">
                  <c:v>0</c:v>
                </c:pt>
                <c:pt idx="1">
                  <c:v>1.2098340992222623E-15</c:v>
                </c:pt>
                <c:pt idx="2">
                  <c:v>1.2098340992222623E-15</c:v>
                </c:pt>
                <c:pt idx="3">
                  <c:v>1.2098340992222623E-15</c:v>
                </c:pt>
                <c:pt idx="4">
                  <c:v>1.2098340992222623E-15</c:v>
                </c:pt>
                <c:pt idx="5">
                  <c:v>1.2098340992222623E-15</c:v>
                </c:pt>
                <c:pt idx="6">
                  <c:v>1.2098340992222623E-15</c:v>
                </c:pt>
                <c:pt idx="7">
                  <c:v>1.2098340992222623E-15</c:v>
                </c:pt>
                <c:pt idx="8">
                  <c:v>1.2098340992222623E-15</c:v>
                </c:pt>
                <c:pt idx="9">
                  <c:v>1.2098340992222623E-15</c:v>
                </c:pt>
                <c:pt idx="10">
                  <c:v>1.2098340992222623E-15</c:v>
                </c:pt>
              </c:numCache>
            </c:numRef>
          </c:xVal>
          <c:yVal>
            <c:numRef>
              <c:f>'V. Stab &amp; V-Tail'!$R$19:$AB$19</c:f>
              <c:numCache>
                <c:formatCode>General</c:formatCode>
                <c:ptCount val="11"/>
                <c:pt idx="0">
                  <c:v>0</c:v>
                </c:pt>
                <c:pt idx="1">
                  <c:v>19.75</c:v>
                </c:pt>
                <c:pt idx="2">
                  <c:v>19.75</c:v>
                </c:pt>
                <c:pt idx="3">
                  <c:v>19.75</c:v>
                </c:pt>
                <c:pt idx="4">
                  <c:v>19.75</c:v>
                </c:pt>
                <c:pt idx="5">
                  <c:v>19.75</c:v>
                </c:pt>
                <c:pt idx="6">
                  <c:v>19.75</c:v>
                </c:pt>
                <c:pt idx="7">
                  <c:v>19.75</c:v>
                </c:pt>
                <c:pt idx="8">
                  <c:v>19.75</c:v>
                </c:pt>
                <c:pt idx="9">
                  <c:v>19.75</c:v>
                </c:pt>
                <c:pt idx="10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3-49A6-92E7-833E8151E851}"/>
            </c:ext>
          </c:extLst>
        </c:ser>
        <c:ser>
          <c:idx val="1"/>
          <c:order val="1"/>
          <c:tx>
            <c:v>Right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'V. Stab &amp; V-Tail'!$R$21:$AB$21</c:f>
              <c:numCache>
                <c:formatCode>General</c:formatCode>
                <c:ptCount val="11"/>
                <c:pt idx="0">
                  <c:v>0</c:v>
                </c:pt>
                <c:pt idx="1">
                  <c:v>1.2098340992222623E-15</c:v>
                </c:pt>
                <c:pt idx="2">
                  <c:v>1.2098340992222623E-15</c:v>
                </c:pt>
                <c:pt idx="3">
                  <c:v>1.2098340992222623E-15</c:v>
                </c:pt>
                <c:pt idx="4">
                  <c:v>1.2098340992222623E-15</c:v>
                </c:pt>
                <c:pt idx="5">
                  <c:v>1.2098340992222623E-15</c:v>
                </c:pt>
                <c:pt idx="6">
                  <c:v>1.2098340992222623E-15</c:v>
                </c:pt>
                <c:pt idx="7">
                  <c:v>1.2098340992222623E-15</c:v>
                </c:pt>
                <c:pt idx="8">
                  <c:v>1.2098340992222623E-15</c:v>
                </c:pt>
                <c:pt idx="9">
                  <c:v>1.2098340992222623E-15</c:v>
                </c:pt>
                <c:pt idx="10">
                  <c:v>1.2098340992222623E-15</c:v>
                </c:pt>
              </c:numCache>
            </c:numRef>
          </c:xVal>
          <c:yVal>
            <c:numRef>
              <c:f>'V. Stab &amp; V-Tail'!$R$19:$AB$19</c:f>
              <c:numCache>
                <c:formatCode>General</c:formatCode>
                <c:ptCount val="11"/>
                <c:pt idx="0">
                  <c:v>0</c:v>
                </c:pt>
                <c:pt idx="1">
                  <c:v>19.75</c:v>
                </c:pt>
                <c:pt idx="2">
                  <c:v>19.75</c:v>
                </c:pt>
                <c:pt idx="3">
                  <c:v>19.75</c:v>
                </c:pt>
                <c:pt idx="4">
                  <c:v>19.75</c:v>
                </c:pt>
                <c:pt idx="5">
                  <c:v>19.75</c:v>
                </c:pt>
                <c:pt idx="6">
                  <c:v>19.75</c:v>
                </c:pt>
                <c:pt idx="7">
                  <c:v>19.75</c:v>
                </c:pt>
                <c:pt idx="8">
                  <c:v>19.75</c:v>
                </c:pt>
                <c:pt idx="9">
                  <c:v>19.75</c:v>
                </c:pt>
                <c:pt idx="10">
                  <c:v>19.75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C3-49A6-92E7-833E8151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14784"/>
        <c:axId val="124415360"/>
      </c:scatterChart>
      <c:valAx>
        <c:axId val="124414784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(Front View)</a:t>
                </a:r>
              </a:p>
            </c:rich>
          </c:tx>
          <c:layout>
            <c:manualLayout>
              <c:xMode val="edge"/>
              <c:yMode val="edge"/>
              <c:x val="0.44311377245508976"/>
              <c:y val="0.88629863779302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415360"/>
        <c:crosses val="autoZero"/>
        <c:crossBetween val="midCat"/>
      </c:valAx>
      <c:valAx>
        <c:axId val="124415360"/>
        <c:scaling>
          <c:orientation val="minMax"/>
          <c:max val="4.5742950108459866"/>
          <c:min val="-1.074295010845987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</a:t>
                </a:r>
              </a:p>
            </c:rich>
          </c:tx>
          <c:layout>
            <c:manualLayout>
              <c:xMode val="edge"/>
              <c:yMode val="edge"/>
              <c:x val="2.3952095808383235E-2"/>
              <c:y val="0.446064774941883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4147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9426533289123E-2"/>
          <c:y val="8.4967591425370928E-2"/>
          <c:w val="0.91105822698635808"/>
          <c:h val="0.7581723542571559"/>
        </c:manualLayout>
      </c:layout>
      <c:scatterChart>
        <c:scatterStyle val="lineMarker"/>
        <c:varyColors val="0"/>
        <c:ser>
          <c:idx val="1"/>
          <c:order val="0"/>
          <c:tx>
            <c:v>Point 1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99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Fuselage!$Q$9</c:f>
              <c:numCache>
                <c:formatCode>General</c:formatCode>
                <c:ptCount val="1"/>
                <c:pt idx="0">
                  <c:v>6.375</c:v>
                </c:pt>
              </c:numCache>
            </c:numRef>
          </c:xVal>
          <c:yVal>
            <c:numRef>
              <c:f>Fuselage!$R$9</c:f>
              <c:numCache>
                <c:formatCode>General</c:formatCode>
                <c:ptCount val="1"/>
                <c:pt idx="0">
                  <c:v>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96-463B-B24B-41C94FCD2CC2}"/>
            </c:ext>
          </c:extLst>
        </c:ser>
        <c:ser>
          <c:idx val="2"/>
          <c:order val="1"/>
          <c:tx>
            <c:strRef>
              <c:f>Fuselage!$S$10</c:f>
              <c:strCache>
                <c:ptCount val="1"/>
                <c:pt idx="0">
                  <c:v>Point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Fuselage!$Q$10</c:f>
              <c:numCache>
                <c:formatCode>General</c:formatCode>
                <c:ptCount val="1"/>
                <c:pt idx="0">
                  <c:v>-26.125</c:v>
                </c:pt>
              </c:numCache>
            </c:numRef>
          </c:xVal>
          <c:yVal>
            <c:numRef>
              <c:f>Fuselage!$R$10</c:f>
              <c:numCache>
                <c:formatCode>General</c:formatCode>
                <c:ptCount val="1"/>
                <c:pt idx="0">
                  <c:v>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96-463B-B24B-41C94FCD2CC2}"/>
            </c:ext>
          </c:extLst>
        </c:ser>
        <c:ser>
          <c:idx val="3"/>
          <c:order val="2"/>
          <c:tx>
            <c:strRef>
              <c:f>Fuselage!$S$11</c:f>
              <c:strCache>
                <c:ptCount val="1"/>
                <c:pt idx="0">
                  <c:v>Point 3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Fuselage!$Q$11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Fuselage!$R$11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96-463B-B24B-41C94FCD2CC2}"/>
            </c:ext>
          </c:extLst>
        </c:ser>
        <c:ser>
          <c:idx val="4"/>
          <c:order val="3"/>
          <c:tx>
            <c:strRef>
              <c:f>Fuselage!$S$12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Fuselage!$Q$12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Fuselage!$R$12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96-463B-B24B-41C94FCD2CC2}"/>
            </c:ext>
          </c:extLst>
        </c:ser>
        <c:ser>
          <c:idx val="5"/>
          <c:order val="4"/>
          <c:tx>
            <c:strRef>
              <c:f>Fuselage!$S$13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Fuselage!$Q$13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Fuselage!$R$13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96-463B-B24B-41C94FCD2CC2}"/>
            </c:ext>
          </c:extLst>
        </c:ser>
        <c:ser>
          <c:idx val="6"/>
          <c:order val="5"/>
          <c:tx>
            <c:strRef>
              <c:f>Fuselage!$S$14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Fuselage!$Q$14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Fuselage!$R$14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96-463B-B24B-41C94FCD2CC2}"/>
            </c:ext>
          </c:extLst>
        </c:ser>
        <c:ser>
          <c:idx val="7"/>
          <c:order val="6"/>
          <c:tx>
            <c:strRef>
              <c:f>Fuselage!$S$15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Fuselage!$Q$15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Fuselage!$R$15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96-463B-B24B-41C94FCD2CC2}"/>
            </c:ext>
          </c:extLst>
        </c:ser>
        <c:ser>
          <c:idx val="8"/>
          <c:order val="7"/>
          <c:tx>
            <c:strRef>
              <c:f>Fuselage!$S$16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Fuselage!$Q$16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Fuselage!$R$16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96-463B-B24B-41C94FCD2CC2}"/>
            </c:ext>
          </c:extLst>
        </c:ser>
        <c:ser>
          <c:idx val="9"/>
          <c:order val="8"/>
          <c:tx>
            <c:strRef>
              <c:f>Fuselage!$S$17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Fuselage!$Q$17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Fuselage!$R$17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96-463B-B24B-41C94FCD2CC2}"/>
            </c:ext>
          </c:extLst>
        </c:ser>
        <c:ser>
          <c:idx val="10"/>
          <c:order val="9"/>
          <c:tx>
            <c:strRef>
              <c:f>Fuselage!$S$18</c:f>
              <c:strCache>
                <c:ptCount val="1"/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Fuselage!$Q$18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Fuselage!$R$18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796-463B-B24B-41C94FCD2CC2}"/>
            </c:ext>
          </c:extLst>
        </c:ser>
        <c:ser>
          <c:idx val="11"/>
          <c:order val="10"/>
          <c:tx>
            <c:strRef>
              <c:f>Fuselage!$S$19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Fuselage!$Q$19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Fuselage!$R$19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796-463B-B24B-41C94FCD2CC2}"/>
            </c:ext>
          </c:extLst>
        </c:ser>
        <c:ser>
          <c:idx val="12"/>
          <c:order val="11"/>
          <c:tx>
            <c:strRef>
              <c:f>Fuselage!$S$20</c:f>
              <c:strCache>
                <c:ptCount val="1"/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Fuselage!$Q$20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Fuselage!$R$20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796-463B-B24B-41C94FCD2CC2}"/>
            </c:ext>
          </c:extLst>
        </c:ser>
        <c:ser>
          <c:idx val="13"/>
          <c:order val="12"/>
          <c:tx>
            <c:strRef>
              <c:f>Fuselage!$S$21</c:f>
              <c:strCache>
                <c:ptCount val="1"/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Fuselage!$Q$21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Fuselage!$R$21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796-463B-B24B-41C94FCD2CC2}"/>
            </c:ext>
          </c:extLst>
        </c:ser>
        <c:ser>
          <c:idx val="14"/>
          <c:order val="13"/>
          <c:tx>
            <c:strRef>
              <c:f>Fuselage!$S$22</c:f>
              <c:strCache>
                <c:ptCount val="1"/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Fuselage!$Q$22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Fuselage!$R$22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796-463B-B24B-41C94FCD2CC2}"/>
            </c:ext>
          </c:extLst>
        </c:ser>
        <c:ser>
          <c:idx val="15"/>
          <c:order val="14"/>
          <c:tx>
            <c:strRef>
              <c:f>Fuselage!$S$23</c:f>
              <c:strCache>
                <c:ptCount val="1"/>
              </c:strCache>
            </c:strRef>
          </c:tx>
          <c:spPr>
            <a:ln w="12700">
              <a:solidFill>
                <a:srgbClr val="FFCC99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Fuselage!$Q$23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Fuselage!$R$23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796-463B-B24B-41C94FCD2CC2}"/>
            </c:ext>
          </c:extLst>
        </c:ser>
        <c:ser>
          <c:idx val="16"/>
          <c:order val="15"/>
          <c:tx>
            <c:strRef>
              <c:f>Fuselage!$S$24</c:f>
              <c:strCache>
                <c:ptCount val="1"/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Fuselage!$Q$24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Fuselage!$R$24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796-463B-B24B-41C94FCD2CC2}"/>
            </c:ext>
          </c:extLst>
        </c:ser>
        <c:ser>
          <c:idx val="17"/>
          <c:order val="16"/>
          <c:tx>
            <c:strRef>
              <c:f>Fuselage!$S$25</c:f>
              <c:strCache>
                <c:ptCount val="1"/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Fuselage!$Q$25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Fuselage!$R$25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796-463B-B24B-41C94FCD2CC2}"/>
            </c:ext>
          </c:extLst>
        </c:ser>
        <c:ser>
          <c:idx val="18"/>
          <c:order val="17"/>
          <c:tx>
            <c:strRef>
              <c:f>Fuselage!$S$26</c:f>
              <c:strCache>
                <c:ptCount val="1"/>
              </c:strCache>
            </c:strRef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Fuselage!$Q$26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Fuselage!$R$26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796-463B-B24B-41C94FCD2CC2}"/>
            </c:ext>
          </c:extLst>
        </c:ser>
        <c:ser>
          <c:idx val="19"/>
          <c:order val="18"/>
          <c:tx>
            <c:strRef>
              <c:f>Fuselage!$S$27</c:f>
              <c:strCache>
                <c:ptCount val="1"/>
              </c:strCache>
            </c:strRef>
          </c:tx>
          <c:spPr>
            <a:ln w="12700">
              <a:solidFill>
                <a:srgbClr val="FFCC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Fuselage!$Q$27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Fuselage!$R$27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796-463B-B24B-41C94FCD2CC2}"/>
            </c:ext>
          </c:extLst>
        </c:ser>
        <c:ser>
          <c:idx val="20"/>
          <c:order val="19"/>
          <c:tx>
            <c:strRef>
              <c:f>Fuselage!$S$28</c:f>
              <c:strCache>
                <c:ptCount val="1"/>
              </c:strCache>
            </c:strRef>
          </c:tx>
          <c:spPr>
            <a:ln w="12700">
              <a:solidFill>
                <a:srgbClr val="FF99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66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Fuselage!$Q$28</c:f>
              <c:numCache>
                <c:formatCode>General</c:formatCode>
                <c:ptCount val="1"/>
                <c:pt idx="0">
                  <c:v>-61.125</c:v>
                </c:pt>
              </c:numCache>
            </c:numRef>
          </c:xVal>
          <c:yVal>
            <c:numRef>
              <c:f>Fuselage!$R$28</c:f>
              <c:numCache>
                <c:formatCode>General</c:formatCode>
                <c:ptCount val="1"/>
                <c:pt idx="0">
                  <c:v>1.125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796-463B-B24B-41C94FCD2CC2}"/>
            </c:ext>
          </c:extLst>
        </c:ser>
        <c:ser>
          <c:idx val="0"/>
          <c:order val="2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Fuselage!$Q$9:$Q$49</c:f>
              <c:numCache>
                <c:formatCode>General</c:formatCode>
                <c:ptCount val="41"/>
                <c:pt idx="0">
                  <c:v>6.375</c:v>
                </c:pt>
                <c:pt idx="1">
                  <c:v>-26.125</c:v>
                </c:pt>
                <c:pt idx="2">
                  <c:v>-61.125</c:v>
                </c:pt>
                <c:pt idx="3">
                  <c:v>-61.125</c:v>
                </c:pt>
                <c:pt idx="4">
                  <c:v>-61.125</c:v>
                </c:pt>
                <c:pt idx="5">
                  <c:v>-61.125</c:v>
                </c:pt>
                <c:pt idx="6">
                  <c:v>-61.125</c:v>
                </c:pt>
                <c:pt idx="7">
                  <c:v>-61.125</c:v>
                </c:pt>
                <c:pt idx="8">
                  <c:v>-61.125</c:v>
                </c:pt>
                <c:pt idx="9">
                  <c:v>-61.125</c:v>
                </c:pt>
                <c:pt idx="10">
                  <c:v>-61.125</c:v>
                </c:pt>
                <c:pt idx="11">
                  <c:v>-61.125</c:v>
                </c:pt>
                <c:pt idx="12">
                  <c:v>-61.125</c:v>
                </c:pt>
                <c:pt idx="13">
                  <c:v>-61.125</c:v>
                </c:pt>
                <c:pt idx="14">
                  <c:v>-61.125</c:v>
                </c:pt>
                <c:pt idx="15">
                  <c:v>-61.125</c:v>
                </c:pt>
                <c:pt idx="16">
                  <c:v>-61.125</c:v>
                </c:pt>
                <c:pt idx="17">
                  <c:v>-61.125</c:v>
                </c:pt>
                <c:pt idx="18">
                  <c:v>-61.125</c:v>
                </c:pt>
                <c:pt idx="19">
                  <c:v>-61.125</c:v>
                </c:pt>
                <c:pt idx="20">
                  <c:v>-61.125</c:v>
                </c:pt>
                <c:pt idx="21">
                  <c:v>-61.125</c:v>
                </c:pt>
                <c:pt idx="22">
                  <c:v>-61.125</c:v>
                </c:pt>
                <c:pt idx="23">
                  <c:v>-61.125</c:v>
                </c:pt>
                <c:pt idx="24">
                  <c:v>-61.125</c:v>
                </c:pt>
                <c:pt idx="25">
                  <c:v>-61.125</c:v>
                </c:pt>
                <c:pt idx="26">
                  <c:v>-61.125</c:v>
                </c:pt>
                <c:pt idx="27">
                  <c:v>-61.125</c:v>
                </c:pt>
                <c:pt idx="28">
                  <c:v>-61.125</c:v>
                </c:pt>
                <c:pt idx="29">
                  <c:v>-61.125</c:v>
                </c:pt>
                <c:pt idx="30">
                  <c:v>-61.125</c:v>
                </c:pt>
                <c:pt idx="31">
                  <c:v>-61.125</c:v>
                </c:pt>
                <c:pt idx="32">
                  <c:v>-61.125</c:v>
                </c:pt>
                <c:pt idx="33">
                  <c:v>-61.125</c:v>
                </c:pt>
                <c:pt idx="34">
                  <c:v>-61.125</c:v>
                </c:pt>
                <c:pt idx="35">
                  <c:v>-61.125</c:v>
                </c:pt>
                <c:pt idx="36">
                  <c:v>-61.125</c:v>
                </c:pt>
                <c:pt idx="37">
                  <c:v>-61.125</c:v>
                </c:pt>
                <c:pt idx="38">
                  <c:v>-26.125</c:v>
                </c:pt>
                <c:pt idx="39">
                  <c:v>6.375</c:v>
                </c:pt>
                <c:pt idx="40">
                  <c:v>6.375</c:v>
                </c:pt>
              </c:numCache>
            </c:numRef>
          </c:xVal>
          <c:yVal>
            <c:numRef>
              <c:f>Fuselage!$R$9:$R$49</c:f>
              <c:numCache>
                <c:formatCode>General</c:formatCode>
                <c:ptCount val="41"/>
                <c:pt idx="0">
                  <c:v>7.25</c:v>
                </c:pt>
                <c:pt idx="1">
                  <c:v>7.25</c:v>
                </c:pt>
                <c:pt idx="2">
                  <c:v>1.125</c:v>
                </c:pt>
                <c:pt idx="3">
                  <c:v>1.125</c:v>
                </c:pt>
                <c:pt idx="4">
                  <c:v>1.125</c:v>
                </c:pt>
                <c:pt idx="5">
                  <c:v>1.125</c:v>
                </c:pt>
                <c:pt idx="6">
                  <c:v>1.125</c:v>
                </c:pt>
                <c:pt idx="7">
                  <c:v>1.125</c:v>
                </c:pt>
                <c:pt idx="8">
                  <c:v>1.125</c:v>
                </c:pt>
                <c:pt idx="9">
                  <c:v>1.125</c:v>
                </c:pt>
                <c:pt idx="10">
                  <c:v>1.125</c:v>
                </c:pt>
                <c:pt idx="11">
                  <c:v>1.125</c:v>
                </c:pt>
                <c:pt idx="12">
                  <c:v>1.125</c:v>
                </c:pt>
                <c:pt idx="13">
                  <c:v>1.125</c:v>
                </c:pt>
                <c:pt idx="14">
                  <c:v>1.125</c:v>
                </c:pt>
                <c:pt idx="15">
                  <c:v>1.125</c:v>
                </c:pt>
                <c:pt idx="16">
                  <c:v>1.125</c:v>
                </c:pt>
                <c:pt idx="17">
                  <c:v>1.125</c:v>
                </c:pt>
                <c:pt idx="18">
                  <c:v>1.125</c:v>
                </c:pt>
                <c:pt idx="19">
                  <c:v>1.125</c:v>
                </c:pt>
                <c:pt idx="20">
                  <c:v>-1.125</c:v>
                </c:pt>
                <c:pt idx="21">
                  <c:v>-1.125</c:v>
                </c:pt>
                <c:pt idx="22">
                  <c:v>-1.125</c:v>
                </c:pt>
                <c:pt idx="23">
                  <c:v>-1.125</c:v>
                </c:pt>
                <c:pt idx="24">
                  <c:v>-1.125</c:v>
                </c:pt>
                <c:pt idx="25">
                  <c:v>-1.125</c:v>
                </c:pt>
                <c:pt idx="26">
                  <c:v>-1.125</c:v>
                </c:pt>
                <c:pt idx="27">
                  <c:v>-1.125</c:v>
                </c:pt>
                <c:pt idx="28">
                  <c:v>-1.125</c:v>
                </c:pt>
                <c:pt idx="29">
                  <c:v>-1.125</c:v>
                </c:pt>
                <c:pt idx="30">
                  <c:v>-1.125</c:v>
                </c:pt>
                <c:pt idx="31">
                  <c:v>-1.125</c:v>
                </c:pt>
                <c:pt idx="32">
                  <c:v>-1.125</c:v>
                </c:pt>
                <c:pt idx="33">
                  <c:v>-1.125</c:v>
                </c:pt>
                <c:pt idx="34">
                  <c:v>-1.125</c:v>
                </c:pt>
                <c:pt idx="35">
                  <c:v>-1.125</c:v>
                </c:pt>
                <c:pt idx="36">
                  <c:v>-1.125</c:v>
                </c:pt>
                <c:pt idx="37">
                  <c:v>-1.125</c:v>
                </c:pt>
                <c:pt idx="38">
                  <c:v>-7.25</c:v>
                </c:pt>
                <c:pt idx="39">
                  <c:v>-7.25</c:v>
                </c:pt>
                <c:pt idx="40">
                  <c:v>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796-463B-B24B-41C94FCD2CC2}"/>
            </c:ext>
          </c:extLst>
        </c:ser>
        <c:ser>
          <c:idx val="21"/>
          <c:order val="21"/>
          <c:tx>
            <c:v>Centroid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Fuselage!$H$32</c:f>
              <c:numCache>
                <c:formatCode>General</c:formatCode>
                <c:ptCount val="1"/>
                <c:pt idx="0">
                  <c:v>-21.181554919596621</c:v>
                </c:pt>
              </c:numCache>
            </c:numRef>
          </c:xVal>
          <c:yVal>
            <c:numRef>
              <c:f>Fuselage!$H$33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796-463B-B24B-41C94FCD2CC2}"/>
            </c:ext>
          </c:extLst>
        </c:ser>
        <c:ser>
          <c:idx val="22"/>
          <c:order val="22"/>
          <c:tx>
            <c:v>Intersect1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Fuselage!$C$31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Fuselage!$D$31</c:f>
              <c:numCache>
                <c:formatCode>General</c:formatCode>
                <c:ptCount val="1"/>
                <c:pt idx="0">
                  <c:v>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796-463B-B24B-41C94FCD2CC2}"/>
            </c:ext>
          </c:extLst>
        </c:ser>
        <c:ser>
          <c:idx val="23"/>
          <c:order val="23"/>
          <c:tx>
            <c:v>Intersect2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Fuselage!$C$32</c:f>
              <c:numCache>
                <c:formatCode>General</c:formatCode>
                <c:ptCount val="1"/>
                <c:pt idx="0">
                  <c:v>-16.5</c:v>
                </c:pt>
              </c:numCache>
            </c:numRef>
          </c:xVal>
          <c:yVal>
            <c:numRef>
              <c:f>Fuselage!$D$32</c:f>
              <c:numCache>
                <c:formatCode>General</c:formatCode>
                <c:ptCount val="1"/>
                <c:pt idx="0">
                  <c:v>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796-463B-B24B-41C94FCD2CC2}"/>
            </c:ext>
          </c:extLst>
        </c:ser>
        <c:ser>
          <c:idx val="24"/>
          <c:order val="24"/>
          <c:tx>
            <c:v>Int1b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Fuselage!$C$31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Fuselage!$E$31</c:f>
              <c:numCache>
                <c:formatCode>General</c:formatCode>
                <c:ptCount val="1"/>
                <c:pt idx="0">
                  <c:v>-7.25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796-463B-B24B-41C94FCD2CC2}"/>
            </c:ext>
          </c:extLst>
        </c:ser>
        <c:ser>
          <c:idx val="25"/>
          <c:order val="25"/>
          <c:tx>
            <c:v>Int2b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Fuselage!$C$32</c:f>
              <c:numCache>
                <c:formatCode>General</c:formatCode>
                <c:ptCount val="1"/>
                <c:pt idx="0">
                  <c:v>-16.5</c:v>
                </c:pt>
              </c:numCache>
            </c:numRef>
          </c:xVal>
          <c:yVal>
            <c:numRef>
              <c:f>Fuselage!$E$32</c:f>
              <c:numCache>
                <c:formatCode>General</c:formatCode>
                <c:ptCount val="1"/>
                <c:pt idx="0">
                  <c:v>-7.25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796-463B-B24B-41C94FCD2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17664"/>
        <c:axId val="124418816"/>
      </c:scatterChart>
      <c:valAx>
        <c:axId val="12441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      Front of fuselage -------&gt;                 </a:t>
                </a:r>
              </a:p>
            </c:rich>
          </c:tx>
          <c:layout>
            <c:manualLayout>
              <c:xMode val="edge"/>
              <c:yMode val="edge"/>
              <c:x val="0.41466370489484644"/>
              <c:y val="0.879087772824029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418816"/>
        <c:crosses val="autoZero"/>
        <c:crossBetween val="midCat"/>
      </c:valAx>
      <c:valAx>
        <c:axId val="1244188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1.9230780516862445E-2"/>
              <c:y val="0.447713847125992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4176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>RWing1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Wings!$R$19:$AN$19</c:f>
              <c:numCache>
                <c:formatCode>General</c:formatCode>
                <c:ptCount val="23"/>
                <c:pt idx="0">
                  <c:v>0</c:v>
                </c:pt>
                <c:pt idx="1">
                  <c:v>61.625</c:v>
                </c:pt>
                <c:pt idx="2">
                  <c:v>61.625</c:v>
                </c:pt>
                <c:pt idx="3">
                  <c:v>61.625</c:v>
                </c:pt>
                <c:pt idx="4">
                  <c:v>61.625</c:v>
                </c:pt>
                <c:pt idx="5">
                  <c:v>61.625</c:v>
                </c:pt>
                <c:pt idx="6">
                  <c:v>61.625</c:v>
                </c:pt>
                <c:pt idx="7">
                  <c:v>61.625</c:v>
                </c:pt>
                <c:pt idx="8">
                  <c:v>61.625</c:v>
                </c:pt>
                <c:pt idx="9">
                  <c:v>61.625</c:v>
                </c:pt>
                <c:pt idx="10">
                  <c:v>61.625</c:v>
                </c:pt>
                <c:pt idx="11">
                  <c:v>61.625</c:v>
                </c:pt>
                <c:pt idx="12">
                  <c:v>61.625</c:v>
                </c:pt>
                <c:pt idx="13">
                  <c:v>61.625</c:v>
                </c:pt>
                <c:pt idx="14">
                  <c:v>61.625</c:v>
                </c:pt>
                <c:pt idx="15">
                  <c:v>61.625</c:v>
                </c:pt>
                <c:pt idx="16">
                  <c:v>61.625</c:v>
                </c:pt>
                <c:pt idx="17">
                  <c:v>61.625</c:v>
                </c:pt>
                <c:pt idx="18">
                  <c:v>61.625</c:v>
                </c:pt>
                <c:pt idx="19">
                  <c:v>61.625</c:v>
                </c:pt>
                <c:pt idx="20">
                  <c:v>61.625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Wings!$R$18:$AN$18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-16.5</c:v>
                </c:pt>
                <c:pt idx="21">
                  <c:v>-16.5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3-424B-A52D-93FB0DA93E71}"/>
            </c:ext>
          </c:extLst>
        </c:ser>
        <c:ser>
          <c:idx val="1"/>
          <c:order val="1"/>
          <c:tx>
            <c:v>LWing1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Wings!$R$23:$AN$23</c:f>
              <c:numCache>
                <c:formatCode>General</c:formatCode>
                <c:ptCount val="23"/>
                <c:pt idx="0">
                  <c:v>0</c:v>
                </c:pt>
                <c:pt idx="1">
                  <c:v>-61.625</c:v>
                </c:pt>
                <c:pt idx="2">
                  <c:v>-61.625</c:v>
                </c:pt>
                <c:pt idx="3">
                  <c:v>-61.625</c:v>
                </c:pt>
                <c:pt idx="4">
                  <c:v>-61.625</c:v>
                </c:pt>
                <c:pt idx="5">
                  <c:v>-61.625</c:v>
                </c:pt>
                <c:pt idx="6">
                  <c:v>-61.625</c:v>
                </c:pt>
                <c:pt idx="7">
                  <c:v>-61.625</c:v>
                </c:pt>
                <c:pt idx="8">
                  <c:v>-61.625</c:v>
                </c:pt>
                <c:pt idx="9">
                  <c:v>-61.625</c:v>
                </c:pt>
                <c:pt idx="10">
                  <c:v>-61.625</c:v>
                </c:pt>
                <c:pt idx="11">
                  <c:v>-61.625</c:v>
                </c:pt>
                <c:pt idx="12">
                  <c:v>-61.625</c:v>
                </c:pt>
                <c:pt idx="13">
                  <c:v>-61.625</c:v>
                </c:pt>
                <c:pt idx="14">
                  <c:v>-61.625</c:v>
                </c:pt>
                <c:pt idx="15">
                  <c:v>-61.625</c:v>
                </c:pt>
                <c:pt idx="16">
                  <c:v>-61.625</c:v>
                </c:pt>
                <c:pt idx="17">
                  <c:v>-61.625</c:v>
                </c:pt>
                <c:pt idx="18">
                  <c:v>-61.625</c:v>
                </c:pt>
                <c:pt idx="19">
                  <c:v>-61.625</c:v>
                </c:pt>
                <c:pt idx="20">
                  <c:v>-61.625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Wings!$R$22:$AN$22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-16.5</c:v>
                </c:pt>
                <c:pt idx="21">
                  <c:v>-16.5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53-424B-A52D-93FB0DA93E71}"/>
            </c:ext>
          </c:extLst>
        </c:ser>
        <c:ser>
          <c:idx val="2"/>
          <c:order val="2"/>
          <c:tx>
            <c:v>RWing2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Wings!$R$45:$AN$45</c:f>
            </c:numRef>
          </c:xVal>
          <c:yVal>
            <c:numRef>
              <c:f>Wings!$R$44:$AN$44</c:f>
            </c:numRef>
          </c:yVal>
          <c:smooth val="0"/>
          <c:extLst>
            <c:ext xmlns:c16="http://schemas.microsoft.com/office/drawing/2014/chart" uri="{C3380CC4-5D6E-409C-BE32-E72D297353CC}">
              <c16:uniqueId val="{00000002-2753-424B-A52D-93FB0DA93E71}"/>
            </c:ext>
          </c:extLst>
        </c:ser>
        <c:ser>
          <c:idx val="3"/>
          <c:order val="3"/>
          <c:tx>
            <c:v>LWing2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Wings!$R$49:$AN$49</c:f>
            </c:numRef>
          </c:xVal>
          <c:yVal>
            <c:numRef>
              <c:f>Wings!$R$48:$AN$48</c:f>
            </c:numRef>
          </c:yVal>
          <c:smooth val="0"/>
          <c:extLst>
            <c:ext xmlns:c16="http://schemas.microsoft.com/office/drawing/2014/chart" uri="{C3380CC4-5D6E-409C-BE32-E72D297353CC}">
              <c16:uniqueId val="{00000003-2753-424B-A52D-93FB0DA93E71}"/>
            </c:ext>
          </c:extLst>
        </c:ser>
        <c:ser>
          <c:idx val="4"/>
          <c:order val="4"/>
          <c:tx>
            <c:v>RWing3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Wings!$R$71:$AN$71</c:f>
            </c:numRef>
          </c:xVal>
          <c:yVal>
            <c:numRef>
              <c:f>Wings!$R$70:$AN$70</c:f>
            </c:numRef>
          </c:yVal>
          <c:smooth val="0"/>
          <c:extLst>
            <c:ext xmlns:c16="http://schemas.microsoft.com/office/drawing/2014/chart" uri="{C3380CC4-5D6E-409C-BE32-E72D297353CC}">
              <c16:uniqueId val="{00000004-2753-424B-A52D-93FB0DA93E71}"/>
            </c:ext>
          </c:extLst>
        </c:ser>
        <c:ser>
          <c:idx val="5"/>
          <c:order val="5"/>
          <c:tx>
            <c:v>LWing3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Wings!$R$75:$AN$75</c:f>
            </c:numRef>
          </c:xVal>
          <c:yVal>
            <c:numRef>
              <c:f>Wings!$R$74:$AN$74</c:f>
            </c:numRef>
          </c:yVal>
          <c:smooth val="0"/>
          <c:extLst>
            <c:ext xmlns:c16="http://schemas.microsoft.com/office/drawing/2014/chart" uri="{C3380CC4-5D6E-409C-BE32-E72D297353CC}">
              <c16:uniqueId val="{00000005-2753-424B-A52D-93FB0DA93E71}"/>
            </c:ext>
          </c:extLst>
        </c:ser>
        <c:ser>
          <c:idx val="6"/>
          <c:order val="6"/>
          <c:tx>
            <c:v>RHStab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'H. Stab &amp; Canard'!$R$19:$AN$19</c:f>
              <c:numCache>
                <c:formatCode>General</c:formatCode>
                <c:ptCount val="23"/>
                <c:pt idx="0">
                  <c:v>0</c:v>
                </c:pt>
                <c:pt idx="1">
                  <c:v>21.75</c:v>
                </c:pt>
                <c:pt idx="2">
                  <c:v>21.75</c:v>
                </c:pt>
                <c:pt idx="3">
                  <c:v>21.75</c:v>
                </c:pt>
                <c:pt idx="4">
                  <c:v>21.75</c:v>
                </c:pt>
                <c:pt idx="5">
                  <c:v>21.75</c:v>
                </c:pt>
                <c:pt idx="6">
                  <c:v>21.75</c:v>
                </c:pt>
                <c:pt idx="7">
                  <c:v>21.75</c:v>
                </c:pt>
                <c:pt idx="8">
                  <c:v>21.75</c:v>
                </c:pt>
                <c:pt idx="9">
                  <c:v>21.75</c:v>
                </c:pt>
                <c:pt idx="10">
                  <c:v>21.75</c:v>
                </c:pt>
                <c:pt idx="11">
                  <c:v>21.75</c:v>
                </c:pt>
                <c:pt idx="12">
                  <c:v>21.75</c:v>
                </c:pt>
                <c:pt idx="13">
                  <c:v>21.75</c:v>
                </c:pt>
                <c:pt idx="14">
                  <c:v>21.75</c:v>
                </c:pt>
                <c:pt idx="15">
                  <c:v>21.75</c:v>
                </c:pt>
                <c:pt idx="16">
                  <c:v>21.75</c:v>
                </c:pt>
                <c:pt idx="17">
                  <c:v>21.75</c:v>
                </c:pt>
                <c:pt idx="18">
                  <c:v>21.75</c:v>
                </c:pt>
                <c:pt idx="19">
                  <c:v>21.75</c:v>
                </c:pt>
                <c:pt idx="20">
                  <c:v>21.75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'H. Stab &amp; Canard'!$R$18:$AN$18</c:f>
              <c:numCache>
                <c:formatCode>General</c:formatCode>
                <c:ptCount val="23"/>
                <c:pt idx="0">
                  <c:v>-72</c:v>
                </c:pt>
                <c:pt idx="1">
                  <c:v>-72</c:v>
                </c:pt>
                <c:pt idx="2">
                  <c:v>-72</c:v>
                </c:pt>
                <c:pt idx="3">
                  <c:v>-72</c:v>
                </c:pt>
                <c:pt idx="4">
                  <c:v>-72</c:v>
                </c:pt>
                <c:pt idx="5">
                  <c:v>-72</c:v>
                </c:pt>
                <c:pt idx="6">
                  <c:v>-72</c:v>
                </c:pt>
                <c:pt idx="7">
                  <c:v>-72</c:v>
                </c:pt>
                <c:pt idx="8">
                  <c:v>-72</c:v>
                </c:pt>
                <c:pt idx="9">
                  <c:v>-72</c:v>
                </c:pt>
                <c:pt idx="10">
                  <c:v>-72</c:v>
                </c:pt>
                <c:pt idx="11">
                  <c:v>-72</c:v>
                </c:pt>
                <c:pt idx="12">
                  <c:v>-72</c:v>
                </c:pt>
                <c:pt idx="13">
                  <c:v>-72</c:v>
                </c:pt>
                <c:pt idx="14">
                  <c:v>-72</c:v>
                </c:pt>
                <c:pt idx="15">
                  <c:v>-72</c:v>
                </c:pt>
                <c:pt idx="16">
                  <c:v>-72</c:v>
                </c:pt>
                <c:pt idx="17">
                  <c:v>-72</c:v>
                </c:pt>
                <c:pt idx="18">
                  <c:v>-72</c:v>
                </c:pt>
                <c:pt idx="19">
                  <c:v>-72</c:v>
                </c:pt>
                <c:pt idx="20">
                  <c:v>-80.5</c:v>
                </c:pt>
                <c:pt idx="21">
                  <c:v>-80.5</c:v>
                </c:pt>
                <c:pt idx="22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753-424B-A52D-93FB0DA93E71}"/>
            </c:ext>
          </c:extLst>
        </c:ser>
        <c:ser>
          <c:idx val="7"/>
          <c:order val="7"/>
          <c:tx>
            <c:v>LHStab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'H. Stab &amp; Canard'!$R$23:$AN$23</c:f>
              <c:numCache>
                <c:formatCode>General</c:formatCode>
                <c:ptCount val="23"/>
                <c:pt idx="0">
                  <c:v>0</c:v>
                </c:pt>
                <c:pt idx="1">
                  <c:v>-21.75</c:v>
                </c:pt>
                <c:pt idx="2">
                  <c:v>-21.75</c:v>
                </c:pt>
                <c:pt idx="3">
                  <c:v>-21.75</c:v>
                </c:pt>
                <c:pt idx="4">
                  <c:v>-21.75</c:v>
                </c:pt>
                <c:pt idx="5">
                  <c:v>-21.75</c:v>
                </c:pt>
                <c:pt idx="6">
                  <c:v>-21.75</c:v>
                </c:pt>
                <c:pt idx="7">
                  <c:v>-21.75</c:v>
                </c:pt>
                <c:pt idx="8">
                  <c:v>-21.75</c:v>
                </c:pt>
                <c:pt idx="9">
                  <c:v>-21.75</c:v>
                </c:pt>
                <c:pt idx="10">
                  <c:v>-21.75</c:v>
                </c:pt>
                <c:pt idx="11">
                  <c:v>-21.75</c:v>
                </c:pt>
                <c:pt idx="12">
                  <c:v>-21.75</c:v>
                </c:pt>
                <c:pt idx="13">
                  <c:v>-21.75</c:v>
                </c:pt>
                <c:pt idx="14">
                  <c:v>-21.75</c:v>
                </c:pt>
                <c:pt idx="15">
                  <c:v>-21.75</c:v>
                </c:pt>
                <c:pt idx="16">
                  <c:v>-21.75</c:v>
                </c:pt>
                <c:pt idx="17">
                  <c:v>-21.75</c:v>
                </c:pt>
                <c:pt idx="18">
                  <c:v>-21.75</c:v>
                </c:pt>
                <c:pt idx="19">
                  <c:v>-21.75</c:v>
                </c:pt>
                <c:pt idx="20">
                  <c:v>-21.75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'H. Stab &amp; Canard'!$R$22:$AN$22</c:f>
              <c:numCache>
                <c:formatCode>General</c:formatCode>
                <c:ptCount val="23"/>
                <c:pt idx="0">
                  <c:v>-72</c:v>
                </c:pt>
                <c:pt idx="1">
                  <c:v>-72</c:v>
                </c:pt>
                <c:pt idx="2">
                  <c:v>-72</c:v>
                </c:pt>
                <c:pt idx="3">
                  <c:v>-72</c:v>
                </c:pt>
                <c:pt idx="4">
                  <c:v>-72</c:v>
                </c:pt>
                <c:pt idx="5">
                  <c:v>-72</c:v>
                </c:pt>
                <c:pt idx="6">
                  <c:v>-72</c:v>
                </c:pt>
                <c:pt idx="7">
                  <c:v>-72</c:v>
                </c:pt>
                <c:pt idx="8">
                  <c:v>-72</c:v>
                </c:pt>
                <c:pt idx="9">
                  <c:v>-72</c:v>
                </c:pt>
                <c:pt idx="10">
                  <c:v>-72</c:v>
                </c:pt>
                <c:pt idx="11">
                  <c:v>-72</c:v>
                </c:pt>
                <c:pt idx="12">
                  <c:v>-72</c:v>
                </c:pt>
                <c:pt idx="13">
                  <c:v>-72</c:v>
                </c:pt>
                <c:pt idx="14">
                  <c:v>-72</c:v>
                </c:pt>
                <c:pt idx="15">
                  <c:v>-72</c:v>
                </c:pt>
                <c:pt idx="16">
                  <c:v>-72</c:v>
                </c:pt>
                <c:pt idx="17">
                  <c:v>-72</c:v>
                </c:pt>
                <c:pt idx="18">
                  <c:v>-72</c:v>
                </c:pt>
                <c:pt idx="19">
                  <c:v>-72</c:v>
                </c:pt>
                <c:pt idx="20">
                  <c:v>-80.5</c:v>
                </c:pt>
                <c:pt idx="21">
                  <c:v>-80.5</c:v>
                </c:pt>
                <c:pt idx="22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753-424B-A52D-93FB0DA93E71}"/>
            </c:ext>
          </c:extLst>
        </c:ser>
        <c:ser>
          <c:idx val="8"/>
          <c:order val="8"/>
          <c:tx>
            <c:v>RCanard</c:v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'H. Stab &amp; Canard'!$R$45:$AN$45</c:f>
            </c:numRef>
          </c:xVal>
          <c:yVal>
            <c:numRef>
              <c:f>'H. Stab &amp; Canard'!$R$44:$AN$44</c:f>
            </c:numRef>
          </c:yVal>
          <c:smooth val="0"/>
          <c:extLst>
            <c:ext xmlns:c16="http://schemas.microsoft.com/office/drawing/2014/chart" uri="{C3380CC4-5D6E-409C-BE32-E72D297353CC}">
              <c16:uniqueId val="{00000008-2753-424B-A52D-93FB0DA93E71}"/>
            </c:ext>
          </c:extLst>
        </c:ser>
        <c:ser>
          <c:idx val="9"/>
          <c:order val="9"/>
          <c:tx>
            <c:v>LCanard</c:v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'H. Stab &amp; Canard'!$R$49:$AN$49</c:f>
            </c:numRef>
          </c:xVal>
          <c:yVal>
            <c:numRef>
              <c:f>'H. Stab &amp; Canard'!$R$48:$AN$48</c:f>
            </c:numRef>
          </c:yVal>
          <c:smooth val="0"/>
          <c:extLst>
            <c:ext xmlns:c16="http://schemas.microsoft.com/office/drawing/2014/chart" uri="{C3380CC4-5D6E-409C-BE32-E72D297353CC}">
              <c16:uniqueId val="{00000009-2753-424B-A52D-93FB0DA93E71}"/>
            </c:ext>
          </c:extLst>
        </c:ser>
        <c:ser>
          <c:idx val="10"/>
          <c:order val="10"/>
          <c:tx>
            <c:v>RVStab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'V. Stab &amp; V-Tail'!$R$20:$AN$20</c:f>
              <c:numCache>
                <c:formatCode>General</c:formatCode>
                <c:ptCount val="23"/>
                <c:pt idx="0">
                  <c:v>0</c:v>
                </c:pt>
                <c:pt idx="1">
                  <c:v>1.2098340992222623E-15</c:v>
                </c:pt>
                <c:pt idx="2">
                  <c:v>1.2098340992222623E-15</c:v>
                </c:pt>
                <c:pt idx="3">
                  <c:v>1.2098340992222623E-15</c:v>
                </c:pt>
                <c:pt idx="4">
                  <c:v>1.2098340992222623E-15</c:v>
                </c:pt>
                <c:pt idx="5">
                  <c:v>1.2098340992222623E-15</c:v>
                </c:pt>
                <c:pt idx="6">
                  <c:v>1.2098340992222623E-15</c:v>
                </c:pt>
                <c:pt idx="7">
                  <c:v>1.2098340992222623E-15</c:v>
                </c:pt>
                <c:pt idx="8">
                  <c:v>1.2098340992222623E-15</c:v>
                </c:pt>
                <c:pt idx="9">
                  <c:v>1.2098340992222623E-15</c:v>
                </c:pt>
                <c:pt idx="10">
                  <c:v>1.2098340992222623E-15</c:v>
                </c:pt>
                <c:pt idx="11">
                  <c:v>1.2098340992222623E-15</c:v>
                </c:pt>
                <c:pt idx="12">
                  <c:v>1.2098340992222623E-15</c:v>
                </c:pt>
                <c:pt idx="13">
                  <c:v>1.2098340992222623E-15</c:v>
                </c:pt>
                <c:pt idx="14">
                  <c:v>1.2098340992222623E-15</c:v>
                </c:pt>
                <c:pt idx="15">
                  <c:v>1.2098340992222623E-15</c:v>
                </c:pt>
                <c:pt idx="16">
                  <c:v>1.2098340992222623E-15</c:v>
                </c:pt>
                <c:pt idx="17">
                  <c:v>1.2098340992222623E-15</c:v>
                </c:pt>
                <c:pt idx="18">
                  <c:v>1.2098340992222623E-15</c:v>
                </c:pt>
                <c:pt idx="19">
                  <c:v>1.2098340992222623E-15</c:v>
                </c:pt>
                <c:pt idx="20">
                  <c:v>1.2098340992222623E-15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'V. Stab &amp; V-Tail'!$R$18:$AN$18</c:f>
              <c:numCache>
                <c:formatCode>General</c:formatCode>
                <c:ptCount val="23"/>
                <c:pt idx="0">
                  <c:v>-72</c:v>
                </c:pt>
                <c:pt idx="1">
                  <c:v>-72</c:v>
                </c:pt>
                <c:pt idx="2">
                  <c:v>-72</c:v>
                </c:pt>
                <c:pt idx="3">
                  <c:v>-72</c:v>
                </c:pt>
                <c:pt idx="4">
                  <c:v>-72</c:v>
                </c:pt>
                <c:pt idx="5">
                  <c:v>-72</c:v>
                </c:pt>
                <c:pt idx="6">
                  <c:v>-72</c:v>
                </c:pt>
                <c:pt idx="7">
                  <c:v>-72</c:v>
                </c:pt>
                <c:pt idx="8">
                  <c:v>-72</c:v>
                </c:pt>
                <c:pt idx="9">
                  <c:v>-72</c:v>
                </c:pt>
                <c:pt idx="10">
                  <c:v>-72</c:v>
                </c:pt>
                <c:pt idx="11">
                  <c:v>-72</c:v>
                </c:pt>
                <c:pt idx="12">
                  <c:v>-72</c:v>
                </c:pt>
                <c:pt idx="13">
                  <c:v>-72</c:v>
                </c:pt>
                <c:pt idx="14">
                  <c:v>-72</c:v>
                </c:pt>
                <c:pt idx="15">
                  <c:v>-72</c:v>
                </c:pt>
                <c:pt idx="16">
                  <c:v>-72</c:v>
                </c:pt>
                <c:pt idx="17">
                  <c:v>-72</c:v>
                </c:pt>
                <c:pt idx="18">
                  <c:v>-72</c:v>
                </c:pt>
                <c:pt idx="19">
                  <c:v>-72</c:v>
                </c:pt>
                <c:pt idx="20">
                  <c:v>-81</c:v>
                </c:pt>
                <c:pt idx="21">
                  <c:v>-81</c:v>
                </c:pt>
                <c:pt idx="22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753-424B-A52D-93FB0DA93E71}"/>
            </c:ext>
          </c:extLst>
        </c:ser>
        <c:ser>
          <c:idx val="11"/>
          <c:order val="11"/>
          <c:tx>
            <c:v>LVStab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'V. Stab &amp; V-Tail'!$R$21:$AN$21</c:f>
              <c:numCache>
                <c:formatCode>General</c:formatCode>
                <c:ptCount val="23"/>
                <c:pt idx="0">
                  <c:v>0</c:v>
                </c:pt>
                <c:pt idx="1">
                  <c:v>1.2098340992222623E-15</c:v>
                </c:pt>
                <c:pt idx="2">
                  <c:v>1.2098340992222623E-15</c:v>
                </c:pt>
                <c:pt idx="3">
                  <c:v>1.2098340992222623E-15</c:v>
                </c:pt>
                <c:pt idx="4">
                  <c:v>1.2098340992222623E-15</c:v>
                </c:pt>
                <c:pt idx="5">
                  <c:v>1.2098340992222623E-15</c:v>
                </c:pt>
                <c:pt idx="6">
                  <c:v>1.2098340992222623E-15</c:v>
                </c:pt>
                <c:pt idx="7">
                  <c:v>1.2098340992222623E-15</c:v>
                </c:pt>
                <c:pt idx="8">
                  <c:v>1.2098340992222623E-15</c:v>
                </c:pt>
                <c:pt idx="9">
                  <c:v>1.2098340992222623E-15</c:v>
                </c:pt>
                <c:pt idx="10">
                  <c:v>1.2098340992222623E-15</c:v>
                </c:pt>
                <c:pt idx="11">
                  <c:v>1.2098340992222623E-15</c:v>
                </c:pt>
                <c:pt idx="12">
                  <c:v>1.2098340992222623E-15</c:v>
                </c:pt>
                <c:pt idx="13">
                  <c:v>1.2098340992222623E-15</c:v>
                </c:pt>
                <c:pt idx="14">
                  <c:v>1.2098340992222623E-15</c:v>
                </c:pt>
                <c:pt idx="15">
                  <c:v>1.2098340992222623E-15</c:v>
                </c:pt>
                <c:pt idx="16">
                  <c:v>1.2098340992222623E-15</c:v>
                </c:pt>
                <c:pt idx="17">
                  <c:v>1.2098340992222623E-15</c:v>
                </c:pt>
                <c:pt idx="18">
                  <c:v>1.2098340992222623E-15</c:v>
                </c:pt>
                <c:pt idx="19">
                  <c:v>1.2098340992222623E-15</c:v>
                </c:pt>
                <c:pt idx="20">
                  <c:v>1.2098340992222623E-15</c:v>
                </c:pt>
                <c:pt idx="21">
                  <c:v>0</c:v>
                </c:pt>
                <c:pt idx="22">
                  <c:v>0</c:v>
                </c:pt>
              </c:numCache>
            </c:numRef>
          </c:xVal>
          <c:yVal>
            <c:numRef>
              <c:f>'V. Stab &amp; V-Tail'!$R$18:$AN$18</c:f>
              <c:numCache>
                <c:formatCode>General</c:formatCode>
                <c:ptCount val="23"/>
                <c:pt idx="0">
                  <c:v>-72</c:v>
                </c:pt>
                <c:pt idx="1">
                  <c:v>-72</c:v>
                </c:pt>
                <c:pt idx="2">
                  <c:v>-72</c:v>
                </c:pt>
                <c:pt idx="3">
                  <c:v>-72</c:v>
                </c:pt>
                <c:pt idx="4">
                  <c:v>-72</c:v>
                </c:pt>
                <c:pt idx="5">
                  <c:v>-72</c:v>
                </c:pt>
                <c:pt idx="6">
                  <c:v>-72</c:v>
                </c:pt>
                <c:pt idx="7">
                  <c:v>-72</c:v>
                </c:pt>
                <c:pt idx="8">
                  <c:v>-72</c:v>
                </c:pt>
                <c:pt idx="9">
                  <c:v>-72</c:v>
                </c:pt>
                <c:pt idx="10">
                  <c:v>-72</c:v>
                </c:pt>
                <c:pt idx="11">
                  <c:v>-72</c:v>
                </c:pt>
                <c:pt idx="12">
                  <c:v>-72</c:v>
                </c:pt>
                <c:pt idx="13">
                  <c:v>-72</c:v>
                </c:pt>
                <c:pt idx="14">
                  <c:v>-72</c:v>
                </c:pt>
                <c:pt idx="15">
                  <c:v>-72</c:v>
                </c:pt>
                <c:pt idx="16">
                  <c:v>-72</c:v>
                </c:pt>
                <c:pt idx="17">
                  <c:v>-72</c:v>
                </c:pt>
                <c:pt idx="18">
                  <c:v>-72</c:v>
                </c:pt>
                <c:pt idx="19">
                  <c:v>-72</c:v>
                </c:pt>
                <c:pt idx="20">
                  <c:v>-81</c:v>
                </c:pt>
                <c:pt idx="21">
                  <c:v>-81</c:v>
                </c:pt>
                <c:pt idx="22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753-424B-A52D-93FB0DA93E71}"/>
            </c:ext>
          </c:extLst>
        </c:ser>
        <c:ser>
          <c:idx val="12"/>
          <c:order val="12"/>
          <c:tx>
            <c:v>Fuselage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Fuselage!$R$9:$R$49</c:f>
              <c:numCache>
                <c:formatCode>General</c:formatCode>
                <c:ptCount val="41"/>
                <c:pt idx="0">
                  <c:v>7.25</c:v>
                </c:pt>
                <c:pt idx="1">
                  <c:v>7.25</c:v>
                </c:pt>
                <c:pt idx="2">
                  <c:v>1.125</c:v>
                </c:pt>
                <c:pt idx="3">
                  <c:v>1.125</c:v>
                </c:pt>
                <c:pt idx="4">
                  <c:v>1.125</c:v>
                </c:pt>
                <c:pt idx="5">
                  <c:v>1.125</c:v>
                </c:pt>
                <c:pt idx="6">
                  <c:v>1.125</c:v>
                </c:pt>
                <c:pt idx="7">
                  <c:v>1.125</c:v>
                </c:pt>
                <c:pt idx="8">
                  <c:v>1.125</c:v>
                </c:pt>
                <c:pt idx="9">
                  <c:v>1.125</c:v>
                </c:pt>
                <c:pt idx="10">
                  <c:v>1.125</c:v>
                </c:pt>
                <c:pt idx="11">
                  <c:v>1.125</c:v>
                </c:pt>
                <c:pt idx="12">
                  <c:v>1.125</c:v>
                </c:pt>
                <c:pt idx="13">
                  <c:v>1.125</c:v>
                </c:pt>
                <c:pt idx="14">
                  <c:v>1.125</c:v>
                </c:pt>
                <c:pt idx="15">
                  <c:v>1.125</c:v>
                </c:pt>
                <c:pt idx="16">
                  <c:v>1.125</c:v>
                </c:pt>
                <c:pt idx="17">
                  <c:v>1.125</c:v>
                </c:pt>
                <c:pt idx="18">
                  <c:v>1.125</c:v>
                </c:pt>
                <c:pt idx="19">
                  <c:v>1.125</c:v>
                </c:pt>
                <c:pt idx="20">
                  <c:v>-1.125</c:v>
                </c:pt>
                <c:pt idx="21">
                  <c:v>-1.125</c:v>
                </c:pt>
                <c:pt idx="22">
                  <c:v>-1.125</c:v>
                </c:pt>
                <c:pt idx="23">
                  <c:v>-1.125</c:v>
                </c:pt>
                <c:pt idx="24">
                  <c:v>-1.125</c:v>
                </c:pt>
                <c:pt idx="25">
                  <c:v>-1.125</c:v>
                </c:pt>
                <c:pt idx="26">
                  <c:v>-1.125</c:v>
                </c:pt>
                <c:pt idx="27">
                  <c:v>-1.125</c:v>
                </c:pt>
                <c:pt idx="28">
                  <c:v>-1.125</c:v>
                </c:pt>
                <c:pt idx="29">
                  <c:v>-1.125</c:v>
                </c:pt>
                <c:pt idx="30">
                  <c:v>-1.125</c:v>
                </c:pt>
                <c:pt idx="31">
                  <c:v>-1.125</c:v>
                </c:pt>
                <c:pt idx="32">
                  <c:v>-1.125</c:v>
                </c:pt>
                <c:pt idx="33">
                  <c:v>-1.125</c:v>
                </c:pt>
                <c:pt idx="34">
                  <c:v>-1.125</c:v>
                </c:pt>
                <c:pt idx="35">
                  <c:v>-1.125</c:v>
                </c:pt>
                <c:pt idx="36">
                  <c:v>-1.125</c:v>
                </c:pt>
                <c:pt idx="37">
                  <c:v>-1.125</c:v>
                </c:pt>
                <c:pt idx="38">
                  <c:v>-7.25</c:v>
                </c:pt>
                <c:pt idx="39">
                  <c:v>-7.25</c:v>
                </c:pt>
                <c:pt idx="40">
                  <c:v>7.25</c:v>
                </c:pt>
              </c:numCache>
            </c:numRef>
          </c:xVal>
          <c:yVal>
            <c:numRef>
              <c:f>Fuselage!$Q$9:$Q$49</c:f>
              <c:numCache>
                <c:formatCode>General</c:formatCode>
                <c:ptCount val="41"/>
                <c:pt idx="0">
                  <c:v>6.375</c:v>
                </c:pt>
                <c:pt idx="1">
                  <c:v>-26.125</c:v>
                </c:pt>
                <c:pt idx="2">
                  <c:v>-61.125</c:v>
                </c:pt>
                <c:pt idx="3">
                  <c:v>-61.125</c:v>
                </c:pt>
                <c:pt idx="4">
                  <c:v>-61.125</c:v>
                </c:pt>
                <c:pt idx="5">
                  <c:v>-61.125</c:v>
                </c:pt>
                <c:pt idx="6">
                  <c:v>-61.125</c:v>
                </c:pt>
                <c:pt idx="7">
                  <c:v>-61.125</c:v>
                </c:pt>
                <c:pt idx="8">
                  <c:v>-61.125</c:v>
                </c:pt>
                <c:pt idx="9">
                  <c:v>-61.125</c:v>
                </c:pt>
                <c:pt idx="10">
                  <c:v>-61.125</c:v>
                </c:pt>
                <c:pt idx="11">
                  <c:v>-61.125</c:v>
                </c:pt>
                <c:pt idx="12">
                  <c:v>-61.125</c:v>
                </c:pt>
                <c:pt idx="13">
                  <c:v>-61.125</c:v>
                </c:pt>
                <c:pt idx="14">
                  <c:v>-61.125</c:v>
                </c:pt>
                <c:pt idx="15">
                  <c:v>-61.125</c:v>
                </c:pt>
                <c:pt idx="16">
                  <c:v>-61.125</c:v>
                </c:pt>
                <c:pt idx="17">
                  <c:v>-61.125</c:v>
                </c:pt>
                <c:pt idx="18">
                  <c:v>-61.125</c:v>
                </c:pt>
                <c:pt idx="19">
                  <c:v>-61.125</c:v>
                </c:pt>
                <c:pt idx="20">
                  <c:v>-61.125</c:v>
                </c:pt>
                <c:pt idx="21">
                  <c:v>-61.125</c:v>
                </c:pt>
                <c:pt idx="22">
                  <c:v>-61.125</c:v>
                </c:pt>
                <c:pt idx="23">
                  <c:v>-61.125</c:v>
                </c:pt>
                <c:pt idx="24">
                  <c:v>-61.125</c:v>
                </c:pt>
                <c:pt idx="25">
                  <c:v>-61.125</c:v>
                </c:pt>
                <c:pt idx="26">
                  <c:v>-61.125</c:v>
                </c:pt>
                <c:pt idx="27">
                  <c:v>-61.125</c:v>
                </c:pt>
                <c:pt idx="28">
                  <c:v>-61.125</c:v>
                </c:pt>
                <c:pt idx="29">
                  <c:v>-61.125</c:v>
                </c:pt>
                <c:pt idx="30">
                  <c:v>-61.125</c:v>
                </c:pt>
                <c:pt idx="31">
                  <c:v>-61.125</c:v>
                </c:pt>
                <c:pt idx="32">
                  <c:v>-61.125</c:v>
                </c:pt>
                <c:pt idx="33">
                  <c:v>-61.125</c:v>
                </c:pt>
                <c:pt idx="34">
                  <c:v>-61.125</c:v>
                </c:pt>
                <c:pt idx="35">
                  <c:v>-61.125</c:v>
                </c:pt>
                <c:pt idx="36">
                  <c:v>-61.125</c:v>
                </c:pt>
                <c:pt idx="37">
                  <c:v>-61.125</c:v>
                </c:pt>
                <c:pt idx="38">
                  <c:v>-26.125</c:v>
                </c:pt>
                <c:pt idx="39">
                  <c:v>6.375</c:v>
                </c:pt>
                <c:pt idx="40">
                  <c:v>6.375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753-424B-A52D-93FB0DA93E71}"/>
            </c:ext>
          </c:extLst>
        </c:ser>
        <c:ser>
          <c:idx val="13"/>
          <c:order val="13"/>
          <c:tx>
            <c:v>IntR1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Fuselage!$D$31</c:f>
              <c:numCache>
                <c:formatCode>General</c:formatCode>
                <c:ptCount val="1"/>
                <c:pt idx="0">
                  <c:v>7.25</c:v>
                </c:pt>
              </c:numCache>
            </c:numRef>
          </c:xVal>
          <c:yVal>
            <c:numRef>
              <c:f>Fuselage!$C$31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753-424B-A52D-93FB0DA93E71}"/>
            </c:ext>
          </c:extLst>
        </c:ser>
        <c:ser>
          <c:idx val="14"/>
          <c:order val="14"/>
          <c:tx>
            <c:v>IntR2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Fuselage!$D$32</c:f>
              <c:numCache>
                <c:formatCode>General</c:formatCode>
                <c:ptCount val="1"/>
                <c:pt idx="0">
                  <c:v>7.25</c:v>
                </c:pt>
              </c:numCache>
            </c:numRef>
          </c:xVal>
          <c:yVal>
            <c:numRef>
              <c:f>Fuselage!$C$32</c:f>
              <c:numCache>
                <c:formatCode>General</c:formatCode>
                <c:ptCount val="1"/>
                <c:pt idx="0">
                  <c:v>-16.5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753-424B-A52D-93FB0DA93E71}"/>
            </c:ext>
          </c:extLst>
        </c:ser>
        <c:ser>
          <c:idx val="15"/>
          <c:order val="15"/>
          <c:tx>
            <c:v>IntL1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Fuselage!$E$31</c:f>
              <c:numCache>
                <c:formatCode>General</c:formatCode>
                <c:ptCount val="1"/>
                <c:pt idx="0">
                  <c:v>-7.25</c:v>
                </c:pt>
              </c:numCache>
            </c:numRef>
          </c:xVal>
          <c:yVal>
            <c:numRef>
              <c:f>Fuselage!$C$31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753-424B-A52D-93FB0DA93E71}"/>
            </c:ext>
          </c:extLst>
        </c:ser>
        <c:ser>
          <c:idx val="16"/>
          <c:order val="16"/>
          <c:tx>
            <c:v>IntL2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Fuselage!$E$32</c:f>
              <c:numCache>
                <c:formatCode>General</c:formatCode>
                <c:ptCount val="1"/>
                <c:pt idx="0">
                  <c:v>-7.25</c:v>
                </c:pt>
              </c:numCache>
            </c:numRef>
          </c:xVal>
          <c:yVal>
            <c:numRef>
              <c:f>Fuselage!$C$32</c:f>
              <c:numCache>
                <c:formatCode>General</c:formatCode>
                <c:ptCount val="1"/>
                <c:pt idx="0">
                  <c:v>-16.5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753-424B-A52D-93FB0DA93E71}"/>
            </c:ext>
          </c:extLst>
        </c:ser>
        <c:ser>
          <c:idx val="17"/>
          <c:order val="17"/>
          <c:tx>
            <c:strRef>
              <c:f>'Point Masses'!$F$10</c:f>
              <c:strCache>
                <c:ptCount val="1"/>
                <c:pt idx="0">
                  <c:v>Propeller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Masses'!$H$10</c:f>
              <c:numCache>
                <c:formatCode>General</c:formatCode>
                <c:ptCount val="1"/>
                <c:pt idx="0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753-424B-A52D-93FB0DA93E71}"/>
            </c:ext>
          </c:extLst>
        </c:ser>
        <c:ser>
          <c:idx val="18"/>
          <c:order val="18"/>
          <c:tx>
            <c:strRef>
              <c:f>'Point Masses'!$F$11</c:f>
              <c:strCache>
                <c:ptCount val="1"/>
                <c:pt idx="0">
                  <c:v>Motor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Masses'!$H$11</c:f>
              <c:numCache>
                <c:formatCode>General</c:formatCode>
                <c:ptCount val="1"/>
                <c:pt idx="0">
                  <c:v>25.875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753-424B-A52D-93FB0DA93E71}"/>
            </c:ext>
          </c:extLst>
        </c:ser>
        <c:ser>
          <c:idx val="19"/>
          <c:order val="19"/>
          <c:tx>
            <c:strRef>
              <c:f>'Point Masses'!$F$12</c:f>
              <c:strCache>
                <c:ptCount val="1"/>
                <c:pt idx="0">
                  <c:v>Nose Cone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Masses'!$H$12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753-424B-A52D-93FB0DA93E71}"/>
            </c:ext>
          </c:extLst>
        </c:ser>
        <c:ser>
          <c:idx val="20"/>
          <c:order val="20"/>
          <c:tx>
            <c:strRef>
              <c:f>'Point Masses'!$F$13</c:f>
              <c:strCache>
                <c:ptCount val="1"/>
                <c:pt idx="0">
                  <c:v>Nose Gear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Masses'!$H$13</c:f>
              <c:numCache>
                <c:formatCode>General</c:formatCode>
                <c:ptCount val="1"/>
                <c:pt idx="0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753-424B-A52D-93FB0DA93E71}"/>
            </c:ext>
          </c:extLst>
        </c:ser>
        <c:ser>
          <c:idx val="21"/>
          <c:order val="21"/>
          <c:tx>
            <c:strRef>
              <c:f>'Point Masses'!$F$14</c:f>
              <c:strCache>
                <c:ptCount val="1"/>
                <c:pt idx="0">
                  <c:v>Tail Gear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Masses'!$H$14</c:f>
              <c:numCache>
                <c:formatCode>General</c:formatCode>
                <c:ptCount val="1"/>
                <c:pt idx="0">
                  <c:v>-27.125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753-424B-A52D-93FB0DA93E71}"/>
            </c:ext>
          </c:extLst>
        </c:ser>
        <c:ser>
          <c:idx val="22"/>
          <c:order val="22"/>
          <c:tx>
            <c:strRef>
              <c:f>'Point Masses'!$F$15</c:f>
              <c:strCache>
                <c:ptCount val="1"/>
                <c:pt idx="0">
                  <c:v>Fairing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Masses'!$H$15</c:f>
              <c:numCache>
                <c:formatCode>General</c:formatCode>
                <c:ptCount val="1"/>
                <c:pt idx="0">
                  <c:v>-37.125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2753-424B-A52D-93FB0DA93E71}"/>
            </c:ext>
          </c:extLst>
        </c:ser>
        <c:ser>
          <c:idx val="23"/>
          <c:order val="23"/>
          <c:tx>
            <c:strRef>
              <c:f>'Point Masses'!$F$16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753-424B-A52D-93FB0DA93E71}"/>
            </c:ext>
          </c:extLst>
        </c:ser>
        <c:ser>
          <c:idx val="24"/>
          <c:order val="24"/>
          <c:tx>
            <c:strRef>
              <c:f>'Point Masses'!$F$17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753-424B-A52D-93FB0DA93E71}"/>
            </c:ext>
          </c:extLst>
        </c:ser>
        <c:ser>
          <c:idx val="25"/>
          <c:order val="25"/>
          <c:tx>
            <c:strRef>
              <c:f>'Point Masses'!$F$18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Masses'!$H$18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753-424B-A52D-93FB0DA93E71}"/>
            </c:ext>
          </c:extLst>
        </c:ser>
        <c:ser>
          <c:idx val="26"/>
          <c:order val="26"/>
          <c:tx>
            <c:strRef>
              <c:f>'Point Masses'!$F$19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753-424B-A52D-93FB0DA93E71}"/>
            </c:ext>
          </c:extLst>
        </c:ser>
        <c:ser>
          <c:idx val="27"/>
          <c:order val="27"/>
          <c:tx>
            <c:strRef>
              <c:f>'Point Masses'!$F$20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Masses'!$H$20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2753-424B-A52D-93FB0DA93E71}"/>
            </c:ext>
          </c:extLst>
        </c:ser>
        <c:ser>
          <c:idx val="37"/>
          <c:order val="28"/>
          <c:tx>
            <c:v>Center of Gravity</c:v>
          </c:tx>
          <c:spPr>
            <a:ln w="127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(Results!$O$40,Results!$M$41)</c:f>
              <c:numCache>
                <c:formatCode>General</c:formatCode>
                <c:ptCount val="2"/>
                <c:pt idx="0">
                  <c:v>-61.625</c:v>
                </c:pt>
                <c:pt idx="1">
                  <c:v>66.760416666666671</c:v>
                </c:pt>
              </c:numCache>
            </c:numRef>
          </c:xVal>
          <c:yVal>
            <c:numRef>
              <c:f>(Results!$C$4,Results!$C$4)</c:f>
              <c:numCache>
                <c:formatCode>General</c:formatCode>
                <c:ptCount val="2"/>
                <c:pt idx="0">
                  <c:v>-10.796860931992653</c:v>
                </c:pt>
                <c:pt idx="1">
                  <c:v>-10.796860931992653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753-424B-A52D-93FB0DA93E71}"/>
            </c:ext>
          </c:extLst>
        </c:ser>
        <c:ser>
          <c:idx val="38"/>
          <c:order val="29"/>
          <c:tx>
            <c:v>Neutral Point</c:v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(Results!$M$40,Results!$O$41)</c:f>
              <c:numCache>
                <c:formatCode>General</c:formatCode>
                <c:ptCount val="2"/>
                <c:pt idx="0">
                  <c:v>-66.760416666666671</c:v>
                </c:pt>
                <c:pt idx="1">
                  <c:v>61.625</c:v>
                </c:pt>
              </c:numCache>
            </c:numRef>
          </c:xVal>
          <c:yVal>
            <c:numRef>
              <c:f>(Results!$C$6,Results!$C$6)</c:f>
              <c:numCache>
                <c:formatCode>General</c:formatCode>
                <c:ptCount val="2"/>
                <c:pt idx="0">
                  <c:v>-10.979183222256475</c:v>
                </c:pt>
                <c:pt idx="1">
                  <c:v>-10.979183222256475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2753-424B-A52D-93FB0DA93E71}"/>
            </c:ext>
          </c:extLst>
        </c:ser>
        <c:ser>
          <c:idx val="28"/>
          <c:order val="30"/>
          <c:tx>
            <c:strRef>
              <c:f>'Point Masses'!$F$21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Masses'!$H$21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2753-424B-A52D-93FB0DA93E71}"/>
            </c:ext>
          </c:extLst>
        </c:ser>
        <c:ser>
          <c:idx val="29"/>
          <c:order val="31"/>
          <c:tx>
            <c:strRef>
              <c:f>'Point Masses'!$F$22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Masses'!$H$22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2753-424B-A52D-93FB0DA93E71}"/>
            </c:ext>
          </c:extLst>
        </c:ser>
        <c:ser>
          <c:idx val="30"/>
          <c:order val="32"/>
          <c:tx>
            <c:strRef>
              <c:f>'Point Masses'!$F$23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Masses'!$H$23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2753-424B-A52D-93FB0DA93E71}"/>
            </c:ext>
          </c:extLst>
        </c:ser>
        <c:ser>
          <c:idx val="31"/>
          <c:order val="33"/>
          <c:tx>
            <c:strRef>
              <c:f>'Point Masses'!$F$24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Masses'!$H$24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2753-424B-A52D-93FB0DA93E71}"/>
            </c:ext>
          </c:extLst>
        </c:ser>
        <c:ser>
          <c:idx val="32"/>
          <c:order val="34"/>
          <c:tx>
            <c:strRef>
              <c:f>'Point Masses'!$F$25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Masses'!$G$25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Masses'!$H$25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2753-424B-A52D-93FB0DA93E71}"/>
            </c:ext>
          </c:extLst>
        </c:ser>
        <c:ser>
          <c:idx val="33"/>
          <c:order val="35"/>
          <c:tx>
            <c:strRef>
              <c:f>'Point Masses'!$F$26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Masses'!$G$26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Masses'!$H$26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2753-424B-A52D-93FB0DA93E71}"/>
            </c:ext>
          </c:extLst>
        </c:ser>
        <c:ser>
          <c:idx val="34"/>
          <c:order val="36"/>
          <c:tx>
            <c:strRef>
              <c:f>'Point Masses'!$F$27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Masses'!$G$27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Masses'!$H$27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2753-424B-A52D-93FB0DA93E71}"/>
            </c:ext>
          </c:extLst>
        </c:ser>
        <c:ser>
          <c:idx val="35"/>
          <c:order val="37"/>
          <c:tx>
            <c:strRef>
              <c:f>'Point Masses'!$F$28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Masses'!$H$28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2753-424B-A52D-93FB0DA93E71}"/>
            </c:ext>
          </c:extLst>
        </c:ser>
        <c:ser>
          <c:idx val="36"/>
          <c:order val="38"/>
          <c:tx>
            <c:strRef>
              <c:f>'Point Masses'!$F$29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'Point Masses'!$G$29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'Point Masses'!$H$29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2753-424B-A52D-93FB0DA93E71}"/>
            </c:ext>
          </c:extLst>
        </c:ser>
        <c:ser>
          <c:idx val="39"/>
          <c:order val="39"/>
          <c:tx>
            <c:strRef>
              <c:f>Results!$P$40</c:f>
              <c:strCache>
                <c:ptCount val="1"/>
                <c:pt idx="0">
                  <c:v>10.80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lgDashDot"/>
            </a:ln>
          </c:spPr>
          <c:marker>
            <c:symbol val="none"/>
          </c:marker>
          <c:dPt>
            <c:idx val="0"/>
            <c:marker>
              <c:symbol val="triangle"/>
              <c:size val="3"/>
              <c:spPr>
                <a:solidFill>
                  <a:srgbClr val="000080"/>
                </a:solidFill>
                <a:ln>
                  <a:solidFill>
                    <a:srgbClr val="00008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2753-424B-A52D-93FB0DA93E71}"/>
              </c:ext>
            </c:extLst>
          </c:dPt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 rot="-5400000" vert="horz"/>
                <a:lstStyle/>
                <a:p>
                  <a:pPr algn="ctr">
                    <a:defRPr sz="1000" b="0" i="0" u="none" strike="noStrike" baseline="0">
                      <a:solidFill>
                        <a:srgbClr val="00008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753-424B-A52D-93FB0DA93E7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(Results!$M$41,Results!$M$41,Results!$M$41)</c:f>
              <c:numCache>
                <c:formatCode>General</c:formatCode>
                <c:ptCount val="3"/>
                <c:pt idx="0">
                  <c:v>66.760416666666671</c:v>
                </c:pt>
                <c:pt idx="1">
                  <c:v>66.760416666666671</c:v>
                </c:pt>
                <c:pt idx="2">
                  <c:v>66.760416666666671</c:v>
                </c:pt>
              </c:numCache>
            </c:numRef>
          </c:xVal>
          <c:yVal>
            <c:numRef>
              <c:f>(Results!$N$40,Results!$Q$40,Results!$C$4)</c:f>
              <c:numCache>
                <c:formatCode>General</c:formatCode>
                <c:ptCount val="3"/>
                <c:pt idx="0">
                  <c:v>0</c:v>
                </c:pt>
                <c:pt idx="1">
                  <c:v>-5.3984304659963263</c:v>
                </c:pt>
                <c:pt idx="2">
                  <c:v>-10.796860931992653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2753-424B-A52D-93FB0DA93E71}"/>
            </c:ext>
          </c:extLst>
        </c:ser>
        <c:ser>
          <c:idx val="40"/>
          <c:order val="40"/>
          <c:tx>
            <c:strRef>
              <c:f>Results!$P$41</c:f>
              <c:strCache>
                <c:ptCount val="1"/>
                <c:pt idx="0">
                  <c:v>10.98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dPt>
            <c:idx val="0"/>
            <c:marker>
              <c:symbol val="triangle"/>
              <c:size val="3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2753-424B-A52D-93FB0DA93E71}"/>
              </c:ext>
            </c:extLst>
          </c:dPt>
          <c:dLbls>
            <c:dLbl>
              <c:idx val="1"/>
              <c:spPr>
                <a:noFill/>
                <a:ln w="25400">
                  <a:noFill/>
                </a:ln>
              </c:spPr>
              <c:txPr>
                <a:bodyPr rot="-5400000" vert="horz"/>
                <a:lstStyle/>
                <a:p>
                  <a:pPr algn="ctr">
                    <a:defRPr sz="1000" b="0" i="0" u="none" strike="noStrike" baseline="0">
                      <a:solidFill>
                        <a:srgbClr val="FF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753-424B-A52D-93FB0DA93E7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(Results!$M$40,Results!$M$40,Results!$M$40)</c:f>
              <c:numCache>
                <c:formatCode>General</c:formatCode>
                <c:ptCount val="3"/>
                <c:pt idx="0">
                  <c:v>-66.760416666666671</c:v>
                </c:pt>
                <c:pt idx="1">
                  <c:v>-66.760416666666671</c:v>
                </c:pt>
                <c:pt idx="2">
                  <c:v>-66.760416666666671</c:v>
                </c:pt>
              </c:numCache>
            </c:numRef>
          </c:xVal>
          <c:yVal>
            <c:numRef>
              <c:f>(Results!$N$41,Results!$Q$41,Results!$C$6)</c:f>
              <c:numCache>
                <c:formatCode>General</c:formatCode>
                <c:ptCount val="3"/>
                <c:pt idx="0">
                  <c:v>0</c:v>
                </c:pt>
                <c:pt idx="1">
                  <c:v>-5.4895916111282377</c:v>
                </c:pt>
                <c:pt idx="2">
                  <c:v>-10.979183222256475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2753-424B-A52D-93FB0DA93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3648"/>
        <c:axId val="43164224"/>
      </c:scatterChart>
      <c:valAx>
        <c:axId val="43163648"/>
        <c:scaling>
          <c:orientation val="minMax"/>
          <c:max val="102.92121935125093"/>
          <c:min val="-102.92121935125093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3175">
            <a:pattFill prst="pct50">
              <a:fgClr>
                <a:srgbClr val="000000"/>
              </a:fgClr>
              <a:bgClr>
                <a:srgbClr val="FFFFFF"/>
              </a:bgClr>
            </a:pattFill>
            <a:prstDash val="solid"/>
          </a:ln>
        </c:spPr>
        <c:crossAx val="43164224"/>
        <c:crosses val="autoZero"/>
        <c:crossBetween val="midCat"/>
      </c:valAx>
      <c:valAx>
        <c:axId val="43164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3175">
            <a:pattFill prst="pct50">
              <a:fgClr>
                <a:srgbClr val="000000"/>
              </a:fgClr>
              <a:bgClr>
                <a:srgbClr val="FFFFFF"/>
              </a:bgClr>
            </a:pattFill>
            <a:prstDash val="solid"/>
          </a:ln>
        </c:spPr>
        <c:crossAx val="431636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ayout>
        <c:manualLayout>
          <c:xMode val="edge"/>
          <c:yMode val="edge"/>
          <c:x val="0.83129855715871281"/>
          <c:y val="0.92332789559543238"/>
          <c:w val="0.16870144284128749"/>
          <c:h val="7.83034257748776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2"/>
  <sheetViews>
    <sheetView zoomScale="115" workbookViewId="0"/>
  </sheetViews>
  <pageMargins left="0.75" right="0.75" top="1" bottom="1" header="0.5" footer="0.5"/>
  <pageSetup orientation="landscape" r:id="rId1"/>
  <headerFooter alignWithMargins="0"/>
  <drawing r:id="rId2"/>
  <legacyDrawing r:id="rId3"/>
</chartsheet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$G$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CheckBox" checked="Checked" fmlaLink="$G$9" lockText="1" noThreeD="1"/>
</file>

<file path=xl/ctrlProps/ctrlProp7.xml><?xml version="1.0" encoding="utf-8"?>
<formControlPr xmlns="http://schemas.microsoft.com/office/spreadsheetml/2009/9/main" objectType="CheckBox" fmlaLink="$G$10" lockText="1" noThreeD="1"/>
</file>

<file path=xl/ctrlProps/ctrlProp8.xml><?xml version="1.0" encoding="utf-8"?>
<formControlPr xmlns="http://schemas.microsoft.com/office/spreadsheetml/2009/9/main" objectType="CheckBox" checked="Checked" fmlaLink="$G$11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checked="Checked" firstButton="1" fmlaLink="$G$14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CheckBox" fmlaLink="$G$18" lockText="1" noThreeD="1"/>
</file>

<file path=xl/ctrlProps/ctrlProp14.xml><?xml version="1.0" encoding="utf-8"?>
<formControlPr xmlns="http://schemas.microsoft.com/office/spreadsheetml/2009/9/main" objectType="Spin" dx="16" fmlaLink="$E$5" max="10" min="1" page="1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16" fmlaLink="$E$31" max="10" min="1" page="10" val="2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Spin" dx="16" fmlaLink="$E$57" max="10" min="1" page="10" val="3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Spin" dx="16" fmlaLink="$E$5" max="10" min="1" page="10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Spin" dx="16" fmlaLink="$E$31" max="10" min="1" page="10" val="3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Spin" dx="16" fmlaLink="$E$5" max="10" min="1" page="10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Spin" dx="16" fmlaLink="$A$20" max="2" min="1" page="10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Spin" dx="16" fmlaLink="$E$9" max="20" min="1" page="10" val="3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checked="Checked" fmlaLink="$J$37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checked="Checked" fmlaLink="$C$11" lockText="1" noThreeD="1"/>
</file>

<file path=xl/ctrlProps/ctrlProp42.xml><?xml version="1.0" encoding="utf-8"?>
<formControlPr xmlns="http://schemas.microsoft.com/office/spreadsheetml/2009/9/main" objectType="CheckBox" checked="Checked" fmlaLink="$C$12" lockText="1" noThreeD="1"/>
</file>

<file path=xl/ctrlProps/ctrlProp43.xml><?xml version="1.0" encoding="utf-8"?>
<formControlPr xmlns="http://schemas.microsoft.com/office/spreadsheetml/2009/9/main" objectType="CheckBox" checked="Checked" fmlaLink="$C$13" lockText="1" noThreeD="1"/>
</file>

<file path=xl/ctrlProps/ctrlProp44.xml><?xml version="1.0" encoding="utf-8"?>
<formControlPr xmlns="http://schemas.microsoft.com/office/spreadsheetml/2009/9/main" objectType="CheckBox" checked="Checked" fmlaLink="$C$14" lockText="1" noThreeD="1"/>
</file>

<file path=xl/ctrlProps/ctrlProp45.xml><?xml version="1.0" encoding="utf-8"?>
<formControlPr xmlns="http://schemas.microsoft.com/office/spreadsheetml/2009/9/main" objectType="CheckBox" checked="Checked" fmlaLink="$C$15" lockText="1" noThreeD="1"/>
</file>

<file path=xl/ctrlProps/ctrlProp46.xml><?xml version="1.0" encoding="utf-8"?>
<formControlPr xmlns="http://schemas.microsoft.com/office/spreadsheetml/2009/9/main" objectType="CheckBox" checked="Checked" fmlaLink="$C$16" lockText="1" noThreeD="1"/>
</file>

<file path=xl/ctrlProps/ctrlProp47.xml><?xml version="1.0" encoding="utf-8"?>
<formControlPr xmlns="http://schemas.microsoft.com/office/spreadsheetml/2009/9/main" objectType="CheckBox" checked="Checked" fmlaLink="$C$17" lockText="1" noThreeD="1"/>
</file>

<file path=xl/ctrlProps/ctrlProp48.xml><?xml version="1.0" encoding="utf-8"?>
<formControlPr xmlns="http://schemas.microsoft.com/office/spreadsheetml/2009/9/main" objectType="List" dx="15" fmlaLink="$M$32" fmlaRange="$M$33:$M$38" noThreeD="1" sel="1" val="0"/>
</file>

<file path=xl/ctrlProps/ctrlProp49.xml><?xml version="1.0" encoding="utf-8"?>
<formControlPr xmlns="http://schemas.microsoft.com/office/spreadsheetml/2009/9/main" objectType="List" dx="15" fmlaLink="$N$32" fmlaRange="$N$33:$N$36" noThreeD="1" sel="1" val="0"/>
</file>

<file path=xl/ctrlProps/ctrlProp50.xml><?xml version="1.0" encoding="utf-8"?>
<formControlPr xmlns="http://schemas.microsoft.com/office/spreadsheetml/2009/9/main" objectType="List" dx="15" fmlaLink="$N$37" fmlaRange="$N$33:$N$36" noThreeD="1" sel="2" val="0"/>
</file>

<file path=xl/ctrlProps/ctrlProp51.xml><?xml version="1.0" encoding="utf-8"?>
<formControlPr xmlns="http://schemas.microsoft.com/office/spreadsheetml/2009/9/main" objectType="List" dx="15" fmlaLink="$O$32" fmlaRange="$O$33:$O$38" noThreeD="1" sel="2" val="0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390525</xdr:colOff>
      <xdr:row>2</xdr:row>
      <xdr:rowOff>85725</xdr:rowOff>
    </xdr:from>
    <xdr:to>
      <xdr:col>17</xdr:col>
      <xdr:colOff>238125</xdr:colOff>
      <xdr:row>26</xdr:row>
      <xdr:rowOff>0</xdr:rowOff>
    </xdr:to>
    <xdr:pic>
      <xdr:nvPicPr>
        <xdr:cNvPr id="5141" name="Picture 21" descr="axes">
          <a:extLst>
            <a:ext uri="{FF2B5EF4-FFF2-40B4-BE49-F238E27FC236}">
              <a16:creationId xmlns:a16="http://schemas.microsoft.com/office/drawing/2014/main" id="{00000000-0008-0000-0000-000015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657725" y="438150"/>
          <a:ext cx="5943600" cy="4572000"/>
        </a:xfrm>
        <a:prstGeom prst="rect">
          <a:avLst/>
        </a:prstGeom>
        <a:noFill/>
        <a:ln w="19050">
          <a:solidFill>
            <a:srgbClr val="000000"/>
          </a:solidFill>
          <a:prstDash val="dash"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127" name="Group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</xdr:row>
          <xdr:rowOff>19050</xdr:rowOff>
        </xdr:from>
        <xdr:to>
          <xdr:col>0</xdr:col>
          <xdr:colOff>514350</xdr:colOff>
          <xdr:row>3</xdr:row>
          <xdr:rowOff>238125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4</xdr:row>
          <xdr:rowOff>19050</xdr:rowOff>
        </xdr:from>
        <xdr:to>
          <xdr:col>0</xdr:col>
          <xdr:colOff>514350</xdr:colOff>
          <xdr:row>4</xdr:row>
          <xdr:rowOff>238125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5</xdr:row>
          <xdr:rowOff>19050</xdr:rowOff>
        </xdr:from>
        <xdr:to>
          <xdr:col>0</xdr:col>
          <xdr:colOff>514350</xdr:colOff>
          <xdr:row>5</xdr:row>
          <xdr:rowOff>238125</xdr:rowOff>
        </xdr:to>
        <xdr:sp macro="" textlink="">
          <xdr:nvSpPr>
            <xdr:cNvPr id="5130" name="Option 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5131" name="Group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8</xdr:row>
          <xdr:rowOff>9525</xdr:rowOff>
        </xdr:from>
        <xdr:to>
          <xdr:col>0</xdr:col>
          <xdr:colOff>514350</xdr:colOff>
          <xdr:row>8</xdr:row>
          <xdr:rowOff>228600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9</xdr:row>
          <xdr:rowOff>9525</xdr:rowOff>
        </xdr:from>
        <xdr:to>
          <xdr:col>0</xdr:col>
          <xdr:colOff>514350</xdr:colOff>
          <xdr:row>9</xdr:row>
          <xdr:rowOff>228600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10</xdr:row>
          <xdr:rowOff>9525</xdr:rowOff>
        </xdr:from>
        <xdr:to>
          <xdr:col>0</xdr:col>
          <xdr:colOff>514350</xdr:colOff>
          <xdr:row>10</xdr:row>
          <xdr:rowOff>228600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5138" name="Group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13</xdr:row>
          <xdr:rowOff>9525</xdr:rowOff>
        </xdr:from>
        <xdr:to>
          <xdr:col>0</xdr:col>
          <xdr:colOff>504825</xdr:colOff>
          <xdr:row>13</xdr:row>
          <xdr:rowOff>228600</xdr:rowOff>
        </xdr:to>
        <xdr:sp macro="" textlink="">
          <xdr:nvSpPr>
            <xdr:cNvPr id="5139" name="Option 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0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14</xdr:row>
          <xdr:rowOff>9525</xdr:rowOff>
        </xdr:from>
        <xdr:to>
          <xdr:col>0</xdr:col>
          <xdr:colOff>504825</xdr:colOff>
          <xdr:row>14</xdr:row>
          <xdr:rowOff>228600</xdr:rowOff>
        </xdr:to>
        <xdr:sp macro="" textlink="">
          <xdr:nvSpPr>
            <xdr:cNvPr id="5140" name="Option 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5142" name="Group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17</xdr:row>
          <xdr:rowOff>47625</xdr:rowOff>
        </xdr:from>
        <xdr:to>
          <xdr:col>0</xdr:col>
          <xdr:colOff>504825</xdr:colOff>
          <xdr:row>18</xdr:row>
          <xdr:rowOff>104775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3</xdr:row>
      <xdr:rowOff>0</xdr:rowOff>
    </xdr:from>
    <xdr:to>
      <xdr:col>15</xdr:col>
      <xdr:colOff>333375</xdr:colOff>
      <xdr:row>23</xdr:row>
      <xdr:rowOff>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76200</xdr:colOff>
      <xdr:row>29</xdr:row>
      <xdr:rowOff>0</xdr:rowOff>
    </xdr:from>
    <xdr:to>
      <xdr:col>15</xdr:col>
      <xdr:colOff>333375</xdr:colOff>
      <xdr:row>49</xdr:row>
      <xdr:rowOff>0</xdr:rowOff>
    </xdr:to>
    <xdr:graphicFrame macro="">
      <xdr:nvGraphicFramePr>
        <xdr:cNvPr id="1047" name="Chart 23">
          <a:extLst>
            <a:ext uri="{FF2B5EF4-FFF2-40B4-BE49-F238E27FC236}">
              <a16:creationId xmlns:a16="http://schemas.microsoft.com/office/drawing/2014/main" id="{00000000-0008-0000-0100-00001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76200</xdr:colOff>
      <xdr:row>55</xdr:row>
      <xdr:rowOff>0</xdr:rowOff>
    </xdr:from>
    <xdr:to>
      <xdr:col>15</xdr:col>
      <xdr:colOff>333375</xdr:colOff>
      <xdr:row>75</xdr:row>
      <xdr:rowOff>0</xdr:rowOff>
    </xdr:to>
    <xdr:graphicFrame macro="">
      <xdr:nvGraphicFramePr>
        <xdr:cNvPr id="1052" name="Chart 28">
          <a:extLst>
            <a:ext uri="{FF2B5EF4-FFF2-40B4-BE49-F238E27FC236}">
              <a16:creationId xmlns:a16="http://schemas.microsoft.com/office/drawing/2014/main" id="{00000000-0008-0000-0100-00001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152400</xdr:rowOff>
        </xdr:from>
        <xdr:to>
          <xdr:col>4</xdr:col>
          <xdr:colOff>152400</xdr:colOff>
          <xdr:row>5</xdr:row>
          <xdr:rowOff>9525</xdr:rowOff>
        </xdr:to>
        <xdr:sp macro="" textlink="">
          <xdr:nvSpPr>
            <xdr:cNvPr id="1039" name="Spinne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23</xdr:row>
          <xdr:rowOff>9525</xdr:rowOff>
        </xdr:from>
        <xdr:to>
          <xdr:col>6</xdr:col>
          <xdr:colOff>247650</xdr:colOff>
          <xdr:row>25</xdr:row>
          <xdr:rowOff>9525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23</xdr:row>
          <xdr:rowOff>9525</xdr:rowOff>
        </xdr:from>
        <xdr:to>
          <xdr:col>7</xdr:col>
          <xdr:colOff>495300</xdr:colOff>
          <xdr:row>25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</xdr:row>
          <xdr:rowOff>152400</xdr:rowOff>
        </xdr:from>
        <xdr:to>
          <xdr:col>4</xdr:col>
          <xdr:colOff>152400</xdr:colOff>
          <xdr:row>31</xdr:row>
          <xdr:rowOff>9525</xdr:rowOff>
        </xdr:to>
        <xdr:sp macro="" textlink="">
          <xdr:nvSpPr>
            <xdr:cNvPr id="1048" name="Spinner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49</xdr:row>
          <xdr:rowOff>9525</xdr:rowOff>
        </xdr:from>
        <xdr:to>
          <xdr:col>6</xdr:col>
          <xdr:colOff>247650</xdr:colOff>
          <xdr:row>51</xdr:row>
          <xdr:rowOff>9525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49</xdr:row>
          <xdr:rowOff>9525</xdr:rowOff>
        </xdr:from>
        <xdr:to>
          <xdr:col>7</xdr:col>
          <xdr:colOff>495300</xdr:colOff>
          <xdr:row>51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54</xdr:row>
          <xdr:rowOff>152400</xdr:rowOff>
        </xdr:from>
        <xdr:to>
          <xdr:col>4</xdr:col>
          <xdr:colOff>152400</xdr:colOff>
          <xdr:row>57</xdr:row>
          <xdr:rowOff>9525</xdr:rowOff>
        </xdr:to>
        <xdr:sp macro="" textlink="">
          <xdr:nvSpPr>
            <xdr:cNvPr id="1053" name="Spinner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75</xdr:row>
          <xdr:rowOff>9525</xdr:rowOff>
        </xdr:from>
        <xdr:to>
          <xdr:col>6</xdr:col>
          <xdr:colOff>247650</xdr:colOff>
          <xdr:row>77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75</xdr:row>
          <xdr:rowOff>9525</xdr:rowOff>
        </xdr:from>
        <xdr:to>
          <xdr:col>7</xdr:col>
          <xdr:colOff>495300</xdr:colOff>
          <xdr:row>77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Axes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3</xdr:row>
      <xdr:rowOff>0</xdr:rowOff>
    </xdr:from>
    <xdr:to>
      <xdr:col>15</xdr:col>
      <xdr:colOff>333375</xdr:colOff>
      <xdr:row>23</xdr:row>
      <xdr:rowOff>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76200</xdr:colOff>
      <xdr:row>29</xdr:row>
      <xdr:rowOff>0</xdr:rowOff>
    </xdr:from>
    <xdr:to>
      <xdr:col>15</xdr:col>
      <xdr:colOff>333375</xdr:colOff>
      <xdr:row>49</xdr:row>
      <xdr:rowOff>0</xdr:rowOff>
    </xdr:to>
    <xdr:graphicFrame macro="">
      <xdr:nvGraphicFramePr>
        <xdr:cNvPr id="2057" name="Chart 9">
          <a:extLst>
            <a:ext uri="{FF2B5EF4-FFF2-40B4-BE49-F238E27FC236}">
              <a16:creationId xmlns:a16="http://schemas.microsoft.com/office/drawing/2014/main" id="{00000000-0008-0000-0200-00000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152400</xdr:rowOff>
        </xdr:from>
        <xdr:to>
          <xdr:col>4</xdr:col>
          <xdr:colOff>152400</xdr:colOff>
          <xdr:row>5</xdr:row>
          <xdr:rowOff>9525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23</xdr:row>
          <xdr:rowOff>9525</xdr:rowOff>
        </xdr:from>
        <xdr:to>
          <xdr:col>6</xdr:col>
          <xdr:colOff>247650</xdr:colOff>
          <xdr:row>25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23</xdr:row>
          <xdr:rowOff>9525</xdr:rowOff>
        </xdr:from>
        <xdr:to>
          <xdr:col>7</xdr:col>
          <xdr:colOff>495300</xdr:colOff>
          <xdr:row>25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</xdr:row>
          <xdr:rowOff>152400</xdr:rowOff>
        </xdr:from>
        <xdr:to>
          <xdr:col>4</xdr:col>
          <xdr:colOff>152400</xdr:colOff>
          <xdr:row>31</xdr:row>
          <xdr:rowOff>9525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49</xdr:row>
          <xdr:rowOff>9525</xdr:rowOff>
        </xdr:from>
        <xdr:to>
          <xdr:col>6</xdr:col>
          <xdr:colOff>171450</xdr:colOff>
          <xdr:row>51</xdr:row>
          <xdr:rowOff>9525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49</xdr:row>
          <xdr:rowOff>9525</xdr:rowOff>
        </xdr:from>
        <xdr:to>
          <xdr:col>7</xdr:col>
          <xdr:colOff>419100</xdr:colOff>
          <xdr:row>51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Axes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3</xdr:row>
      <xdr:rowOff>0</xdr:rowOff>
    </xdr:from>
    <xdr:to>
      <xdr:col>15</xdr:col>
      <xdr:colOff>333375</xdr:colOff>
      <xdr:row>23</xdr:row>
      <xdr:rowOff>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00000000-0008-0000-03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76200</xdr:colOff>
      <xdr:row>23</xdr:row>
      <xdr:rowOff>66675</xdr:rowOff>
    </xdr:from>
    <xdr:to>
      <xdr:col>15</xdr:col>
      <xdr:colOff>342900</xdr:colOff>
      <xdr:row>43</xdr:row>
      <xdr:rowOff>76200</xdr:rowOff>
    </xdr:to>
    <xdr:graphicFrame macro="">
      <xdr:nvGraphicFramePr>
        <xdr:cNvPr id="3078" name="Chart 6">
          <a:extLs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152400</xdr:rowOff>
        </xdr:from>
        <xdr:to>
          <xdr:col>4</xdr:col>
          <xdr:colOff>152400</xdr:colOff>
          <xdr:row>5</xdr:row>
          <xdr:rowOff>9525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18</xdr:row>
          <xdr:rowOff>95250</xdr:rowOff>
        </xdr:from>
        <xdr:to>
          <xdr:col>5</xdr:col>
          <xdr:colOff>57150</xdr:colOff>
          <xdr:row>20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20</xdr:row>
          <xdr:rowOff>142875</xdr:rowOff>
        </xdr:from>
        <xdr:to>
          <xdr:col>5</xdr:col>
          <xdr:colOff>57150</xdr:colOff>
          <xdr:row>23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695325</xdr:colOff>
          <xdr:row>17</xdr:row>
          <xdr:rowOff>152400</xdr:rowOff>
        </xdr:from>
        <xdr:to>
          <xdr:col>1</xdr:col>
          <xdr:colOff>0</xdr:colOff>
          <xdr:row>20</xdr:row>
          <xdr:rowOff>9525</xdr:rowOff>
        </xdr:to>
        <xdr:sp macro="" textlink="">
          <xdr:nvSpPr>
            <xdr:cNvPr id="3077" name="Spinner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39</xdr:row>
          <xdr:rowOff>9525</xdr:rowOff>
        </xdr:from>
        <xdr:to>
          <xdr:col>5</xdr:col>
          <xdr:colOff>57150</xdr:colOff>
          <xdr:row>41</xdr:row>
          <xdr:rowOff>28575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41</xdr:row>
          <xdr:rowOff>57150</xdr:rowOff>
        </xdr:from>
        <xdr:to>
          <xdr:col>5</xdr:col>
          <xdr:colOff>57150</xdr:colOff>
          <xdr:row>43</xdr:row>
          <xdr:rowOff>76200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Axes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17</xdr:col>
      <xdr:colOff>0</xdr:colOff>
      <xdr:row>28</xdr:row>
      <xdr:rowOff>0</xdr:rowOff>
    </xdr:to>
    <xdr:graphicFrame macro="">
      <xdr:nvGraphicFramePr>
        <xdr:cNvPr id="4100" name="Chart 4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152400</xdr:rowOff>
        </xdr:from>
        <xdr:to>
          <xdr:col>4</xdr:col>
          <xdr:colOff>152400</xdr:colOff>
          <xdr:row>9</xdr:row>
          <xdr:rowOff>9525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152400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to run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7</xdr:row>
          <xdr:rowOff>0</xdr:rowOff>
        </xdr:from>
        <xdr:to>
          <xdr:col>8</xdr:col>
          <xdr:colOff>361950</xdr:colOff>
          <xdr:row>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Offset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35</xdr:row>
          <xdr:rowOff>152400</xdr:rowOff>
        </xdr:from>
        <xdr:to>
          <xdr:col>8</xdr:col>
          <xdr:colOff>523875</xdr:colOff>
          <xdr:row>37</xdr:row>
          <xdr:rowOff>28575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Remove intersecting wing area from calculations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200025</xdr:colOff>
          <xdr:row>28</xdr:row>
          <xdr:rowOff>28575</xdr:rowOff>
        </xdr:from>
        <xdr:to>
          <xdr:col>15</xdr:col>
          <xdr:colOff>371475</xdr:colOff>
          <xdr:row>30</xdr:row>
          <xdr:rowOff>47625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447675</xdr:colOff>
          <xdr:row>28</xdr:row>
          <xdr:rowOff>28575</xdr:rowOff>
        </xdr:from>
        <xdr:to>
          <xdr:col>17</xdr:col>
          <xdr:colOff>9525</xdr:colOff>
          <xdr:row>30</xdr:row>
          <xdr:rowOff>47625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Axes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9</xdr:row>
          <xdr:rowOff>142875</xdr:rowOff>
        </xdr:from>
        <xdr:to>
          <xdr:col>2</xdr:col>
          <xdr:colOff>295275</xdr:colOff>
          <xdr:row>11</xdr:row>
          <xdr:rowOff>9525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10</xdr:row>
          <xdr:rowOff>171450</xdr:rowOff>
        </xdr:from>
        <xdr:to>
          <xdr:col>2</xdr:col>
          <xdr:colOff>295275</xdr:colOff>
          <xdr:row>12</xdr:row>
          <xdr:rowOff>9525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11</xdr:row>
          <xdr:rowOff>171450</xdr:rowOff>
        </xdr:from>
        <xdr:to>
          <xdr:col>2</xdr:col>
          <xdr:colOff>295275</xdr:colOff>
          <xdr:row>13</xdr:row>
          <xdr:rowOff>9525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12</xdr:row>
          <xdr:rowOff>171450</xdr:rowOff>
        </xdr:from>
        <xdr:to>
          <xdr:col>2</xdr:col>
          <xdr:colOff>295275</xdr:colOff>
          <xdr:row>14</xdr:row>
          <xdr:rowOff>9525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13</xdr:row>
          <xdr:rowOff>171450</xdr:rowOff>
        </xdr:from>
        <xdr:to>
          <xdr:col>2</xdr:col>
          <xdr:colOff>295275</xdr:colOff>
          <xdr:row>15</xdr:row>
          <xdr:rowOff>9525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14</xdr:row>
          <xdr:rowOff>171450</xdr:rowOff>
        </xdr:from>
        <xdr:to>
          <xdr:col>2</xdr:col>
          <xdr:colOff>295275</xdr:colOff>
          <xdr:row>16</xdr:row>
          <xdr:rowOff>9525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15</xdr:row>
          <xdr:rowOff>180975</xdr:rowOff>
        </xdr:from>
        <xdr:to>
          <xdr:col>2</xdr:col>
          <xdr:colOff>295275</xdr:colOff>
          <xdr:row>17</xdr:row>
          <xdr:rowOff>19050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5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309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4</xdr:row>
          <xdr:rowOff>19050</xdr:rowOff>
        </xdr:from>
        <xdr:to>
          <xdr:col>6</xdr:col>
          <xdr:colOff>590550</xdr:colOff>
          <xdr:row>5</xdr:row>
          <xdr:rowOff>142875</xdr:rowOff>
        </xdr:to>
        <xdr:sp macro="" textlink="">
          <xdr:nvSpPr>
            <xdr:cNvPr id="8234" name="List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8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19050</xdr:rowOff>
        </xdr:from>
        <xdr:to>
          <xdr:col>7</xdr:col>
          <xdr:colOff>590550</xdr:colOff>
          <xdr:row>5</xdr:row>
          <xdr:rowOff>142875</xdr:rowOff>
        </xdr:to>
        <xdr:sp macro="" textlink="">
          <xdr:nvSpPr>
            <xdr:cNvPr id="8235" name="List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8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7</xdr:row>
          <xdr:rowOff>28575</xdr:rowOff>
        </xdr:from>
        <xdr:to>
          <xdr:col>6</xdr:col>
          <xdr:colOff>485775</xdr:colOff>
          <xdr:row>8</xdr:row>
          <xdr:rowOff>152400</xdr:rowOff>
        </xdr:to>
        <xdr:sp macro="" textlink="">
          <xdr:nvSpPr>
            <xdr:cNvPr id="8236" name="List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8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7</xdr:row>
          <xdr:rowOff>28575</xdr:rowOff>
        </xdr:from>
        <xdr:to>
          <xdr:col>7</xdr:col>
          <xdr:colOff>590550</xdr:colOff>
          <xdr:row>8</xdr:row>
          <xdr:rowOff>152400</xdr:rowOff>
        </xdr:to>
        <xdr:sp macro="" textlink="">
          <xdr:nvSpPr>
            <xdr:cNvPr id="8237" name="List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8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6</xdr:row>
          <xdr:rowOff>19050</xdr:rowOff>
        </xdr:from>
        <xdr:to>
          <xdr:col>11</xdr:col>
          <xdr:colOff>581025</xdr:colOff>
          <xdr:row>8</xdr:row>
          <xdr:rowOff>161925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8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Static Margin Wizard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19050</xdr:rowOff>
        </xdr:from>
        <xdr:to>
          <xdr:col>15</xdr:col>
          <xdr:colOff>581025</xdr:colOff>
          <xdr:row>8</xdr:row>
          <xdr:rowOff>161925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8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AVL 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Dan/LOCALS~1/Temp/Rar$DI00.828/CG_Calc03_12_02_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tting Started"/>
      <sheetName val="Wings"/>
      <sheetName val="Fuselage"/>
      <sheetName val="H. Stab &amp; Canard"/>
      <sheetName val="V. Stab &amp; V-Tail"/>
      <sheetName val="Weights"/>
      <sheetName val="Point Masses"/>
      <sheetName val="Top View"/>
      <sheetName val="Results"/>
      <sheetName val="Credits"/>
    </sheetNames>
    <sheetDataSet>
      <sheetData sheetId="0"/>
      <sheetData sheetId="1"/>
      <sheetData sheetId="2"/>
      <sheetData sheetId="3"/>
      <sheetData sheetId="4">
        <row r="42">
          <cell r="I42">
            <v>-28.897980400492209</v>
          </cell>
        </row>
      </sheetData>
      <sheetData sheetId="5"/>
      <sheetData sheetId="6"/>
      <sheetData sheetId="7" refreshError="1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3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31"/>
  <sheetViews>
    <sheetView showGridLines="0" topLeftCell="A2" workbookViewId="0">
      <selection activeCell="D49" sqref="D49"/>
    </sheetView>
  </sheetViews>
  <sheetFormatPr defaultColWidth="9.140625" defaultRowHeight="12.75" x14ac:dyDescent="0.2"/>
  <cols>
    <col min="1" max="16384" width="9.140625" style="3"/>
  </cols>
  <sheetData>
    <row r="1" spans="1:9" ht="15" x14ac:dyDescent="0.25">
      <c r="A1" s="76" t="s">
        <v>53</v>
      </c>
      <c r="D1" s="3" t="s">
        <v>130</v>
      </c>
    </row>
    <row r="2" spans="1:9" x14ac:dyDescent="0.2">
      <c r="E2" s="44"/>
      <c r="F2" s="44"/>
      <c r="G2" s="44"/>
      <c r="H2" s="44"/>
      <c r="I2" s="44"/>
    </row>
    <row r="3" spans="1:9" x14ac:dyDescent="0.2">
      <c r="A3" s="38" t="s">
        <v>57</v>
      </c>
      <c r="E3" s="44"/>
      <c r="F3" s="44"/>
      <c r="G3" s="44"/>
      <c r="H3" s="44"/>
      <c r="I3" s="44"/>
    </row>
    <row r="4" spans="1:9" ht="20.100000000000001" customHeight="1" x14ac:dyDescent="0.2">
      <c r="B4" s="77" t="s">
        <v>62</v>
      </c>
      <c r="E4" s="44"/>
      <c r="F4" s="44"/>
      <c r="G4" s="26">
        <v>1</v>
      </c>
      <c r="H4" s="26"/>
      <c r="I4" s="44"/>
    </row>
    <row r="5" spans="1:9" ht="20.100000000000001" customHeight="1" x14ac:dyDescent="0.2">
      <c r="B5" s="77" t="s">
        <v>63</v>
      </c>
      <c r="E5" s="44"/>
      <c r="F5" s="44"/>
      <c r="G5" s="27">
        <f>G4</f>
        <v>1</v>
      </c>
      <c r="H5" s="26"/>
      <c r="I5" s="44"/>
    </row>
    <row r="6" spans="1:9" ht="20.100000000000001" customHeight="1" x14ac:dyDescent="0.2">
      <c r="B6" s="77" t="s">
        <v>64</v>
      </c>
      <c r="E6" s="44"/>
      <c r="F6" s="44"/>
      <c r="G6" s="26"/>
      <c r="H6" s="26"/>
      <c r="I6" s="44"/>
    </row>
    <row r="7" spans="1:9" x14ac:dyDescent="0.2">
      <c r="E7" s="44"/>
      <c r="F7" s="44"/>
      <c r="G7" s="26"/>
      <c r="H7" s="26"/>
      <c r="I7" s="44"/>
    </row>
    <row r="8" spans="1:9" ht="20.100000000000001" customHeight="1" x14ac:dyDescent="0.2">
      <c r="A8" s="38" t="s">
        <v>69</v>
      </c>
      <c r="E8" s="44"/>
      <c r="F8" s="44"/>
      <c r="G8" s="26"/>
      <c r="H8" s="26"/>
      <c r="I8" s="44"/>
    </row>
    <row r="9" spans="1:9" ht="20.100000000000001" customHeight="1" x14ac:dyDescent="0.2">
      <c r="B9" s="77" t="s">
        <v>34</v>
      </c>
      <c r="E9" s="44"/>
      <c r="F9" s="44"/>
      <c r="G9" s="26" t="b">
        <v>1</v>
      </c>
      <c r="H9" s="27" t="b">
        <f>G9</f>
        <v>1</v>
      </c>
      <c r="I9" s="44"/>
    </row>
    <row r="10" spans="1:9" ht="20.100000000000001" customHeight="1" x14ac:dyDescent="0.2">
      <c r="B10" s="77" t="s">
        <v>35</v>
      </c>
      <c r="E10" s="44"/>
      <c r="F10" s="44"/>
      <c r="G10" s="26" t="b">
        <v>0</v>
      </c>
      <c r="H10" s="27" t="b">
        <f>G10</f>
        <v>0</v>
      </c>
      <c r="I10" s="44"/>
    </row>
    <row r="11" spans="1:9" ht="20.100000000000001" customHeight="1" x14ac:dyDescent="0.2">
      <c r="B11" s="77" t="s">
        <v>65</v>
      </c>
      <c r="E11" s="44"/>
      <c r="F11" s="44"/>
      <c r="G11" s="26" t="b">
        <v>1</v>
      </c>
      <c r="H11" s="27" t="b">
        <f>G11</f>
        <v>1</v>
      </c>
      <c r="I11" s="44"/>
    </row>
    <row r="12" spans="1:9" x14ac:dyDescent="0.2">
      <c r="E12" s="44"/>
      <c r="F12" s="44"/>
      <c r="G12" s="26"/>
      <c r="H12" s="26"/>
      <c r="I12" s="44"/>
    </row>
    <row r="13" spans="1:9" x14ac:dyDescent="0.2">
      <c r="A13" s="38" t="s">
        <v>66</v>
      </c>
      <c r="E13" s="44"/>
      <c r="F13" s="44"/>
      <c r="G13" s="26"/>
      <c r="H13" s="26"/>
      <c r="I13" s="44"/>
    </row>
    <row r="14" spans="1:9" ht="20.100000000000001" customHeight="1" x14ac:dyDescent="0.2">
      <c r="B14" s="77" t="s">
        <v>67</v>
      </c>
      <c r="E14" s="44"/>
      <c r="F14" s="44"/>
      <c r="G14" s="26">
        <v>1</v>
      </c>
      <c r="H14" s="26"/>
      <c r="I14" s="44"/>
    </row>
    <row r="15" spans="1:9" ht="20.100000000000001" customHeight="1" x14ac:dyDescent="0.2">
      <c r="B15" s="77" t="s">
        <v>68</v>
      </c>
      <c r="E15" s="44"/>
      <c r="F15" s="44"/>
      <c r="G15" s="27">
        <f>G14</f>
        <v>1</v>
      </c>
      <c r="H15" s="26"/>
      <c r="I15" s="44"/>
    </row>
    <row r="16" spans="1:9" x14ac:dyDescent="0.2">
      <c r="E16" s="44"/>
      <c r="F16" s="44"/>
      <c r="G16" s="26"/>
      <c r="H16" s="26"/>
      <c r="I16" s="44"/>
    </row>
    <row r="17" spans="1:10" x14ac:dyDescent="0.2">
      <c r="A17" s="38" t="s">
        <v>236</v>
      </c>
      <c r="E17" s="44"/>
      <c r="F17" s="44"/>
      <c r="G17" s="26"/>
      <c r="H17" s="26"/>
      <c r="I17" s="44"/>
    </row>
    <row r="18" spans="1:10" ht="12.75" customHeight="1" x14ac:dyDescent="0.2">
      <c r="B18" s="104" t="s">
        <v>237</v>
      </c>
      <c r="C18" s="104"/>
      <c r="D18" s="104"/>
      <c r="E18" s="44"/>
      <c r="F18" s="44"/>
      <c r="G18" s="26" t="b">
        <v>0</v>
      </c>
      <c r="H18" s="27" t="b">
        <f>G18</f>
        <v>0</v>
      </c>
      <c r="I18" s="44"/>
    </row>
    <row r="19" spans="1:10" x14ac:dyDescent="0.2">
      <c r="B19" s="104"/>
      <c r="C19" s="104"/>
      <c r="D19" s="104"/>
      <c r="E19" s="44"/>
      <c r="F19" s="44"/>
      <c r="G19" s="44"/>
      <c r="H19" s="44"/>
      <c r="I19" s="44"/>
    </row>
    <row r="20" spans="1:10" x14ac:dyDescent="0.2">
      <c r="B20" s="100" t="s">
        <v>238</v>
      </c>
      <c r="E20" s="44"/>
      <c r="F20" s="44"/>
      <c r="G20" s="44"/>
      <c r="H20" s="44"/>
      <c r="I20" s="44"/>
    </row>
    <row r="21" spans="1:10" x14ac:dyDescent="0.2">
      <c r="B21" s="100" t="s">
        <v>239</v>
      </c>
      <c r="E21" s="44"/>
      <c r="F21" s="44"/>
      <c r="G21" s="44"/>
      <c r="H21" s="44"/>
      <c r="I21" s="44"/>
    </row>
    <row r="22" spans="1:10" x14ac:dyDescent="0.2">
      <c r="E22" s="44"/>
      <c r="F22" s="44"/>
      <c r="G22" s="44"/>
      <c r="H22" s="44"/>
      <c r="I22" s="44"/>
    </row>
    <row r="23" spans="1:10" x14ac:dyDescent="0.2">
      <c r="A23" s="38" t="s">
        <v>70</v>
      </c>
      <c r="E23" s="44"/>
      <c r="F23" s="44"/>
      <c r="G23" s="44"/>
      <c r="H23" s="44"/>
      <c r="I23" s="44"/>
    </row>
    <row r="24" spans="1:10" x14ac:dyDescent="0.2">
      <c r="A24" s="3" t="s">
        <v>73</v>
      </c>
      <c r="H24" s="26"/>
    </row>
    <row r="25" spans="1:10" x14ac:dyDescent="0.2">
      <c r="A25" s="3" t="s">
        <v>74</v>
      </c>
      <c r="C25" s="41"/>
    </row>
    <row r="26" spans="1:10" x14ac:dyDescent="0.2">
      <c r="A26" s="78" t="s">
        <v>71</v>
      </c>
      <c r="B26" s="78"/>
      <c r="C26" s="78"/>
      <c r="D26" s="41"/>
    </row>
    <row r="27" spans="1:10" x14ac:dyDescent="0.2">
      <c r="A27" s="79" t="s">
        <v>72</v>
      </c>
      <c r="B27" s="79"/>
      <c r="C27" s="79"/>
      <c r="D27" s="79"/>
      <c r="J27" s="3" t="s">
        <v>76</v>
      </c>
    </row>
    <row r="28" spans="1:10" x14ac:dyDescent="0.2">
      <c r="A28" s="3" t="s">
        <v>207</v>
      </c>
      <c r="J28" s="3" t="s">
        <v>75</v>
      </c>
    </row>
    <row r="29" spans="1:10" x14ac:dyDescent="0.2">
      <c r="A29" s="3" t="s">
        <v>208</v>
      </c>
    </row>
    <row r="30" spans="1:10" x14ac:dyDescent="0.2">
      <c r="A30" s="3" t="s">
        <v>209</v>
      </c>
    </row>
    <row r="31" spans="1:10" x14ac:dyDescent="0.2">
      <c r="A31" s="3" t="s">
        <v>242</v>
      </c>
    </row>
  </sheetData>
  <mergeCells count="1">
    <mergeCell ref="B18:D19"/>
  </mergeCells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Group Box 7">
              <controlPr defaultSize="0" autoFill="0" autoPict="0">
                <anchor moveWithCells="1">
                  <from>
                    <xdr:col>0</xdr:col>
                    <xdr:colOff>9525</xdr:colOff>
                    <xdr:row>3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Option Button 8">
              <controlPr defaultSize="0" autoFill="0" autoLine="0" autoPict="0">
                <anchor moveWithCells="1">
                  <from>
                    <xdr:col>0</xdr:col>
                    <xdr:colOff>209550</xdr:colOff>
                    <xdr:row>3</xdr:row>
                    <xdr:rowOff>19050</xdr:rowOff>
                  </from>
                  <to>
                    <xdr:col>0</xdr:col>
                    <xdr:colOff>514350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Option Button 9">
              <controlPr defaultSize="0" autoFill="0" autoLine="0" autoPict="0">
                <anchor moveWithCells="1">
                  <from>
                    <xdr:col>0</xdr:col>
                    <xdr:colOff>209550</xdr:colOff>
                    <xdr:row>4</xdr:row>
                    <xdr:rowOff>19050</xdr:rowOff>
                  </from>
                  <to>
                    <xdr:col>0</xdr:col>
                    <xdr:colOff>514350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Option Button 10">
              <controlPr defaultSize="0" autoFill="0" autoLine="0" autoPict="0">
                <anchor moveWithCells="1">
                  <from>
                    <xdr:col>0</xdr:col>
                    <xdr:colOff>209550</xdr:colOff>
                    <xdr:row>5</xdr:row>
                    <xdr:rowOff>19050</xdr:rowOff>
                  </from>
                  <to>
                    <xdr:col>0</xdr:col>
                    <xdr:colOff>514350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Group Box 11">
              <controlPr defaultSize="0" autoFill="0" autoPict="0">
                <anchor moveWithCells="1">
                  <from>
                    <xdr:col>0</xdr:col>
                    <xdr:colOff>9525</xdr:colOff>
                    <xdr:row>8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Check Box 15">
              <controlPr defaultSize="0" autoFill="0" autoLine="0" autoPict="0">
                <anchor moveWithCells="1">
                  <from>
                    <xdr:col>0</xdr:col>
                    <xdr:colOff>209550</xdr:colOff>
                    <xdr:row>8</xdr:row>
                    <xdr:rowOff>9525</xdr:rowOff>
                  </from>
                  <to>
                    <xdr:col>0</xdr:col>
                    <xdr:colOff>514350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0" name="Check Box 16">
              <controlPr defaultSize="0" autoFill="0" autoLine="0" autoPict="0">
                <anchor moveWithCells="1">
                  <from>
                    <xdr:col>0</xdr:col>
                    <xdr:colOff>209550</xdr:colOff>
                    <xdr:row>9</xdr:row>
                    <xdr:rowOff>9525</xdr:rowOff>
                  </from>
                  <to>
                    <xdr:col>0</xdr:col>
                    <xdr:colOff>514350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1" name="Check Box 17">
              <controlPr defaultSize="0" autoFill="0" autoLine="0" autoPict="0">
                <anchor moveWithCells="1">
                  <from>
                    <xdr:col>0</xdr:col>
                    <xdr:colOff>209550</xdr:colOff>
                    <xdr:row>10</xdr:row>
                    <xdr:rowOff>9525</xdr:rowOff>
                  </from>
                  <to>
                    <xdr:col>0</xdr:col>
                    <xdr:colOff>514350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2" name="Group Box 18">
              <controlPr defaultSize="0" autoFill="0" autoPict="0">
                <anchor moveWithCells="1">
                  <from>
                    <xdr:col>0</xdr:col>
                    <xdr:colOff>9525</xdr:colOff>
                    <xdr:row>13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3" name="Option Button 19">
              <controlPr defaultSize="0" autoFill="0" autoLine="0" autoPict="0">
                <anchor moveWithCells="1">
                  <from>
                    <xdr:col>0</xdr:col>
                    <xdr:colOff>200025</xdr:colOff>
                    <xdr:row>13</xdr:row>
                    <xdr:rowOff>9525</xdr:rowOff>
                  </from>
                  <to>
                    <xdr:col>0</xdr:col>
                    <xdr:colOff>504825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4" name="Option Button 20">
              <controlPr defaultSize="0" autoFill="0" autoLine="0" autoPict="0">
                <anchor moveWithCells="1">
                  <from>
                    <xdr:col>0</xdr:col>
                    <xdr:colOff>200025</xdr:colOff>
                    <xdr:row>14</xdr:row>
                    <xdr:rowOff>9525</xdr:rowOff>
                  </from>
                  <to>
                    <xdr:col>0</xdr:col>
                    <xdr:colOff>504825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5" name="Group Box 22">
              <controlPr defaultSize="0" autoFill="0" autoPict="0">
                <anchor moveWithCells="1">
                  <from>
                    <xdr:col>0</xdr:col>
                    <xdr:colOff>9525</xdr:colOff>
                    <xdr:row>17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6" name="Check Box 23">
              <controlPr defaultSize="0" autoFill="0" autoLine="0" autoPict="0">
                <anchor moveWithCells="1">
                  <from>
                    <xdr:col>0</xdr:col>
                    <xdr:colOff>200025</xdr:colOff>
                    <xdr:row>17</xdr:row>
                    <xdr:rowOff>47625</xdr:rowOff>
                  </from>
                  <to>
                    <xdr:col>0</xdr:col>
                    <xdr:colOff>504825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79"/>
  <sheetViews>
    <sheetView showGridLines="0" workbookViewId="0">
      <selection activeCell="B23" sqref="B23"/>
    </sheetView>
  </sheetViews>
  <sheetFormatPr defaultColWidth="9.140625" defaultRowHeight="12.75" outlineLevelRow="1" x14ac:dyDescent="0.2"/>
  <cols>
    <col min="1" max="1" width="12.7109375" style="3" bestFit="1" customWidth="1"/>
    <col min="2" max="5" width="12.7109375" style="3" customWidth="1"/>
    <col min="6" max="16384" width="9.140625" style="3"/>
  </cols>
  <sheetData>
    <row r="1" spans="1:28" ht="15" x14ac:dyDescent="0.25">
      <c r="A1" s="2" t="s">
        <v>0</v>
      </c>
    </row>
    <row r="2" spans="1:28" outlineLevel="1" x14ac:dyDescent="0.2">
      <c r="Q2" s="4" t="s">
        <v>23</v>
      </c>
      <c r="R2" s="5"/>
      <c r="S2" s="5"/>
      <c r="T2" s="4" t="s">
        <v>24</v>
      </c>
      <c r="W2" s="6"/>
      <c r="X2" s="6" t="s">
        <v>33</v>
      </c>
      <c r="Y2" s="6"/>
      <c r="Z2" s="6"/>
      <c r="AA2" s="6"/>
      <c r="AB2" s="6"/>
    </row>
    <row r="3" spans="1:28" outlineLevel="1" x14ac:dyDescent="0.2">
      <c r="A3" s="7" t="s">
        <v>8</v>
      </c>
      <c r="E3" s="8"/>
      <c r="Q3" s="9" t="s">
        <v>22</v>
      </c>
      <c r="R3" s="9" t="s">
        <v>20</v>
      </c>
      <c r="S3" s="9" t="s">
        <v>21</v>
      </c>
      <c r="T3" s="9" t="s">
        <v>22</v>
      </c>
      <c r="U3" s="9" t="s">
        <v>20</v>
      </c>
      <c r="V3" s="9" t="s">
        <v>21</v>
      </c>
      <c r="W3" s="10"/>
      <c r="X3" s="9" t="s">
        <v>22</v>
      </c>
      <c r="Y3" s="9" t="s">
        <v>20</v>
      </c>
      <c r="Z3" s="9" t="s">
        <v>21</v>
      </c>
      <c r="AA3" s="10"/>
      <c r="AB3" s="10"/>
    </row>
    <row r="4" spans="1:28" outlineLevel="1" x14ac:dyDescent="0.2">
      <c r="A4" s="11" t="s">
        <v>1</v>
      </c>
      <c r="B4" s="11" t="s">
        <v>2</v>
      </c>
      <c r="C4" s="11" t="s">
        <v>25</v>
      </c>
      <c r="E4" s="9" t="s">
        <v>28</v>
      </c>
      <c r="Q4" s="11">
        <v>1</v>
      </c>
      <c r="R4" s="18">
        <f>C5</f>
        <v>0</v>
      </c>
      <c r="S4" s="18">
        <f>B5</f>
        <v>0</v>
      </c>
      <c r="T4" s="11">
        <v>1</v>
      </c>
      <c r="U4" s="18">
        <f>C5-A5</f>
        <v>-16.5</v>
      </c>
      <c r="V4" s="18">
        <f>S4</f>
        <v>0</v>
      </c>
      <c r="W4" s="6"/>
      <c r="X4" s="11">
        <v>1</v>
      </c>
      <c r="Y4" s="18">
        <f>B24</f>
        <v>30.8125</v>
      </c>
      <c r="Z4" s="18">
        <f>B23+0.5*B25</f>
        <v>0</v>
      </c>
      <c r="AA4" s="6"/>
      <c r="AB4" s="6"/>
    </row>
    <row r="5" spans="1:28" outlineLevel="1" x14ac:dyDescent="0.2">
      <c r="A5" s="12">
        <v>16.5</v>
      </c>
      <c r="B5" s="12">
        <v>0</v>
      </c>
      <c r="C5" s="12">
        <v>0</v>
      </c>
      <c r="E5" s="12">
        <v>1</v>
      </c>
      <c r="Q5" s="11">
        <v>2</v>
      </c>
      <c r="R5" s="18">
        <f>R4-D8</f>
        <v>0</v>
      </c>
      <c r="S5" s="18">
        <f>S4+C8*COS(E8*PI()/180)</f>
        <v>61.625</v>
      </c>
      <c r="T5" s="11">
        <v>2</v>
      </c>
      <c r="U5" s="18">
        <f>R5-B8</f>
        <v>-16.5</v>
      </c>
      <c r="V5" s="18">
        <f t="shared" ref="V5:V14" si="0">S5</f>
        <v>61.625</v>
      </c>
      <c r="W5" s="6"/>
      <c r="X5" s="11">
        <v>2</v>
      </c>
      <c r="Y5" s="18">
        <f>B24</f>
        <v>30.8125</v>
      </c>
      <c r="Z5" s="18">
        <f>D20</f>
        <v>-4.125</v>
      </c>
      <c r="AA5" s="6"/>
      <c r="AB5" s="6"/>
    </row>
    <row r="6" spans="1:28" outlineLevel="1" x14ac:dyDescent="0.2">
      <c r="Q6" s="11">
        <v>3</v>
      </c>
      <c r="R6" s="18">
        <f t="shared" ref="R6:R14" si="1">R5-D9</f>
        <v>0</v>
      </c>
      <c r="S6" s="18">
        <f t="shared" ref="S6:S14" si="2">S5+C9*COS(E9*PI()/180)</f>
        <v>61.625</v>
      </c>
      <c r="T6" s="11">
        <v>3</v>
      </c>
      <c r="U6" s="18">
        <f t="shared" ref="U6:U14" si="3">R6-B9</f>
        <v>0</v>
      </c>
      <c r="V6" s="18">
        <f t="shared" si="0"/>
        <v>61.625</v>
      </c>
      <c r="W6" s="6"/>
      <c r="X6" s="11">
        <v>3</v>
      </c>
      <c r="Y6" s="18">
        <f>B24</f>
        <v>30.8125</v>
      </c>
      <c r="Z6" s="18">
        <f>B23-0.5*B25</f>
        <v>-16.5</v>
      </c>
      <c r="AA6" s="6"/>
      <c r="AB6" s="6"/>
    </row>
    <row r="7" spans="1:28" outlineLevel="1" x14ac:dyDescent="0.2">
      <c r="A7" s="13" t="s">
        <v>3</v>
      </c>
      <c r="B7" s="14" t="s">
        <v>4</v>
      </c>
      <c r="C7" s="14" t="s">
        <v>5</v>
      </c>
      <c r="D7" s="14" t="s">
        <v>6</v>
      </c>
      <c r="E7" s="14" t="s">
        <v>7</v>
      </c>
      <c r="Q7" s="11">
        <v>4</v>
      </c>
      <c r="R7" s="18">
        <f t="shared" si="1"/>
        <v>0</v>
      </c>
      <c r="S7" s="18">
        <f t="shared" si="2"/>
        <v>61.625</v>
      </c>
      <c r="T7" s="11">
        <v>4</v>
      </c>
      <c r="U7" s="18">
        <f t="shared" si="3"/>
        <v>0</v>
      </c>
      <c r="V7" s="18">
        <f t="shared" si="0"/>
        <v>61.625</v>
      </c>
      <c r="W7" s="6"/>
      <c r="X7" s="6"/>
      <c r="Y7" s="6"/>
      <c r="Z7" s="6"/>
      <c r="AA7" s="6"/>
      <c r="AB7" s="6"/>
    </row>
    <row r="8" spans="1:28" outlineLevel="1" x14ac:dyDescent="0.2">
      <c r="A8" s="11">
        <v>1</v>
      </c>
      <c r="B8" s="12">
        <v>16.5</v>
      </c>
      <c r="C8" s="12">
        <f>123.25/2</f>
        <v>61.625</v>
      </c>
      <c r="D8" s="12">
        <v>0</v>
      </c>
      <c r="E8" s="12">
        <v>0</v>
      </c>
      <c r="Q8" s="11">
        <v>5</v>
      </c>
      <c r="R8" s="18">
        <f t="shared" si="1"/>
        <v>0</v>
      </c>
      <c r="S8" s="18">
        <f t="shared" si="2"/>
        <v>61.625</v>
      </c>
      <c r="T8" s="11">
        <v>5</v>
      </c>
      <c r="U8" s="18">
        <f t="shared" si="3"/>
        <v>0</v>
      </c>
      <c r="V8" s="18">
        <f t="shared" si="0"/>
        <v>61.625</v>
      </c>
      <c r="W8" s="6"/>
      <c r="X8" s="6"/>
      <c r="Y8" s="6"/>
      <c r="Z8" s="6"/>
      <c r="AA8" s="6"/>
      <c r="AB8" s="6"/>
    </row>
    <row r="9" spans="1:28" outlineLevel="1" x14ac:dyDescent="0.2">
      <c r="A9" s="15"/>
      <c r="B9" s="15"/>
      <c r="C9" s="15"/>
      <c r="D9" s="15"/>
      <c r="E9" s="15"/>
      <c r="Q9" s="11">
        <v>6</v>
      </c>
      <c r="R9" s="18">
        <f t="shared" si="1"/>
        <v>0</v>
      </c>
      <c r="S9" s="18">
        <f t="shared" si="2"/>
        <v>61.625</v>
      </c>
      <c r="T9" s="11">
        <v>6</v>
      </c>
      <c r="U9" s="18">
        <f t="shared" si="3"/>
        <v>0</v>
      </c>
      <c r="V9" s="18">
        <f t="shared" si="0"/>
        <v>61.625</v>
      </c>
      <c r="W9" s="6"/>
      <c r="X9" s="6"/>
      <c r="Y9" s="6"/>
      <c r="Z9" s="6"/>
      <c r="AA9" s="6"/>
      <c r="AB9" s="6"/>
    </row>
    <row r="10" spans="1:28" outlineLevel="1" x14ac:dyDescent="0.2">
      <c r="A10" s="15"/>
      <c r="B10" s="15"/>
      <c r="C10" s="15"/>
      <c r="D10" s="15"/>
      <c r="E10" s="15"/>
      <c r="Q10" s="11">
        <v>7</v>
      </c>
      <c r="R10" s="18">
        <f t="shared" si="1"/>
        <v>0</v>
      </c>
      <c r="S10" s="18">
        <f t="shared" si="2"/>
        <v>61.625</v>
      </c>
      <c r="T10" s="11">
        <v>7</v>
      </c>
      <c r="U10" s="18">
        <f t="shared" si="3"/>
        <v>0</v>
      </c>
      <c r="V10" s="18">
        <f t="shared" si="0"/>
        <v>61.625</v>
      </c>
      <c r="W10" s="6"/>
      <c r="X10" s="6"/>
      <c r="Y10" s="6"/>
      <c r="Z10" s="6"/>
      <c r="AA10" s="6"/>
      <c r="AB10" s="6"/>
    </row>
    <row r="11" spans="1:28" outlineLevel="1" x14ac:dyDescent="0.2">
      <c r="A11" s="15"/>
      <c r="B11" s="15"/>
      <c r="C11" s="15"/>
      <c r="D11" s="15"/>
      <c r="E11" s="15"/>
      <c r="Q11" s="11">
        <v>8</v>
      </c>
      <c r="R11" s="18">
        <f t="shared" si="1"/>
        <v>0</v>
      </c>
      <c r="S11" s="18">
        <f t="shared" si="2"/>
        <v>61.625</v>
      </c>
      <c r="T11" s="11">
        <v>8</v>
      </c>
      <c r="U11" s="18">
        <f t="shared" si="3"/>
        <v>0</v>
      </c>
      <c r="V11" s="18">
        <f t="shared" si="0"/>
        <v>61.625</v>
      </c>
      <c r="W11" s="6"/>
      <c r="X11" s="6"/>
      <c r="Y11" s="6"/>
      <c r="Z11" s="6"/>
      <c r="AA11" s="6"/>
      <c r="AB11" s="6"/>
    </row>
    <row r="12" spans="1:28" outlineLevel="1" x14ac:dyDescent="0.2">
      <c r="A12" s="15"/>
      <c r="B12" s="15"/>
      <c r="C12" s="15"/>
      <c r="D12" s="15"/>
      <c r="E12" s="15"/>
      <c r="Q12" s="11">
        <v>9</v>
      </c>
      <c r="R12" s="18">
        <f t="shared" si="1"/>
        <v>0</v>
      </c>
      <c r="S12" s="18">
        <f t="shared" si="2"/>
        <v>61.625</v>
      </c>
      <c r="T12" s="11">
        <v>9</v>
      </c>
      <c r="U12" s="18">
        <f t="shared" si="3"/>
        <v>0</v>
      </c>
      <c r="V12" s="18">
        <f t="shared" si="0"/>
        <v>61.625</v>
      </c>
      <c r="W12" s="6"/>
      <c r="X12" s="6"/>
      <c r="Y12" s="6"/>
      <c r="Z12" s="6"/>
      <c r="AA12" s="6"/>
      <c r="AB12" s="6"/>
    </row>
    <row r="13" spans="1:28" outlineLevel="1" x14ac:dyDescent="0.2">
      <c r="A13" s="15"/>
      <c r="B13" s="15"/>
      <c r="C13" s="15"/>
      <c r="D13" s="15"/>
      <c r="E13" s="15"/>
      <c r="Q13" s="11">
        <v>10</v>
      </c>
      <c r="R13" s="18">
        <f t="shared" si="1"/>
        <v>0</v>
      </c>
      <c r="S13" s="18">
        <f t="shared" si="2"/>
        <v>61.625</v>
      </c>
      <c r="T13" s="11">
        <v>10</v>
      </c>
      <c r="U13" s="18">
        <f t="shared" si="3"/>
        <v>0</v>
      </c>
      <c r="V13" s="18">
        <f t="shared" si="0"/>
        <v>61.625</v>
      </c>
      <c r="W13" s="6"/>
      <c r="X13" s="6"/>
      <c r="Y13" s="6"/>
      <c r="Z13" s="6"/>
      <c r="AA13" s="6"/>
      <c r="AB13" s="6"/>
    </row>
    <row r="14" spans="1:28" outlineLevel="1" x14ac:dyDescent="0.2">
      <c r="A14" s="15"/>
      <c r="B14" s="15"/>
      <c r="C14" s="15"/>
      <c r="D14" s="15"/>
      <c r="E14" s="15"/>
      <c r="Q14" s="11">
        <v>11</v>
      </c>
      <c r="R14" s="18">
        <f t="shared" si="1"/>
        <v>0</v>
      </c>
      <c r="S14" s="18">
        <f t="shared" si="2"/>
        <v>61.625</v>
      </c>
      <c r="T14" s="11">
        <v>11</v>
      </c>
      <c r="U14" s="18">
        <f t="shared" si="3"/>
        <v>0</v>
      </c>
      <c r="V14" s="18">
        <f t="shared" si="0"/>
        <v>61.625</v>
      </c>
      <c r="W14" s="6"/>
      <c r="X14" s="6"/>
      <c r="Y14" s="6"/>
      <c r="Z14" s="6"/>
      <c r="AA14" s="6"/>
      <c r="AB14" s="6"/>
    </row>
    <row r="15" spans="1:28" outlineLevel="1" x14ac:dyDescent="0.2">
      <c r="A15" s="15"/>
      <c r="B15" s="15"/>
      <c r="C15" s="15"/>
      <c r="D15" s="15"/>
      <c r="E15" s="15"/>
    </row>
    <row r="16" spans="1:28" outlineLevel="1" x14ac:dyDescent="0.2">
      <c r="A16" s="15"/>
      <c r="B16" s="15"/>
      <c r="C16" s="15"/>
      <c r="D16" s="15"/>
      <c r="E16" s="15"/>
      <c r="Q16" s="3" t="s">
        <v>26</v>
      </c>
    </row>
    <row r="17" spans="1:40" outlineLevel="1" x14ac:dyDescent="0.2">
      <c r="A17" s="15"/>
      <c r="B17" s="15"/>
      <c r="C17" s="15"/>
      <c r="D17" s="15"/>
      <c r="E17" s="15"/>
      <c r="Q17" s="9" t="s">
        <v>22</v>
      </c>
      <c r="R17" s="11">
        <v>1</v>
      </c>
      <c r="S17" s="11">
        <v>2</v>
      </c>
      <c r="T17" s="11">
        <v>3</v>
      </c>
      <c r="U17" s="11">
        <v>4</v>
      </c>
      <c r="V17" s="11">
        <v>5</v>
      </c>
      <c r="W17" s="11">
        <v>6</v>
      </c>
      <c r="X17" s="11">
        <v>7</v>
      </c>
      <c r="Y17" s="11">
        <v>8</v>
      </c>
      <c r="Z17" s="11">
        <v>9</v>
      </c>
      <c r="AA17" s="11">
        <v>10</v>
      </c>
      <c r="AB17" s="11">
        <v>11</v>
      </c>
      <c r="AC17" s="11">
        <v>11</v>
      </c>
      <c r="AD17" s="11">
        <v>10</v>
      </c>
      <c r="AE17" s="11">
        <v>9</v>
      </c>
      <c r="AF17" s="11">
        <v>8</v>
      </c>
      <c r="AG17" s="11">
        <v>7</v>
      </c>
      <c r="AH17" s="11">
        <v>6</v>
      </c>
      <c r="AI17" s="11">
        <v>5</v>
      </c>
      <c r="AJ17" s="11">
        <v>4</v>
      </c>
      <c r="AK17" s="11">
        <v>3</v>
      </c>
      <c r="AL17" s="11">
        <v>2</v>
      </c>
      <c r="AM17" s="11">
        <v>1</v>
      </c>
      <c r="AN17" s="11">
        <v>1</v>
      </c>
    </row>
    <row r="18" spans="1:40" outlineLevel="1" x14ac:dyDescent="0.2">
      <c r="Q18" s="16" t="s">
        <v>20</v>
      </c>
      <c r="R18" s="18">
        <f>R4</f>
        <v>0</v>
      </c>
      <c r="S18" s="18">
        <f>R5</f>
        <v>0</v>
      </c>
      <c r="T18" s="18">
        <f>R6</f>
        <v>0</v>
      </c>
      <c r="U18" s="18">
        <f>R7</f>
        <v>0</v>
      </c>
      <c r="V18" s="18">
        <f>R8</f>
        <v>0</v>
      </c>
      <c r="W18" s="18">
        <f>R9</f>
        <v>0</v>
      </c>
      <c r="X18" s="18">
        <f>R10</f>
        <v>0</v>
      </c>
      <c r="Y18" s="18">
        <f>R11</f>
        <v>0</v>
      </c>
      <c r="Z18" s="18">
        <f>R12</f>
        <v>0</v>
      </c>
      <c r="AA18" s="18">
        <f>R13</f>
        <v>0</v>
      </c>
      <c r="AB18" s="18">
        <f>R14</f>
        <v>0</v>
      </c>
      <c r="AC18" s="18">
        <f>U14</f>
        <v>0</v>
      </c>
      <c r="AD18" s="18">
        <f>U13</f>
        <v>0</v>
      </c>
      <c r="AE18" s="18">
        <f>U12</f>
        <v>0</v>
      </c>
      <c r="AF18" s="18">
        <f>U11</f>
        <v>0</v>
      </c>
      <c r="AG18" s="18">
        <f>U10</f>
        <v>0</v>
      </c>
      <c r="AH18" s="18">
        <f>U9</f>
        <v>0</v>
      </c>
      <c r="AI18" s="18">
        <f>U8</f>
        <v>0</v>
      </c>
      <c r="AJ18" s="18">
        <f>U7</f>
        <v>0</v>
      </c>
      <c r="AK18" s="18">
        <f>U6</f>
        <v>0</v>
      </c>
      <c r="AL18" s="18">
        <f>U5</f>
        <v>-16.5</v>
      </c>
      <c r="AM18" s="18">
        <f>U4</f>
        <v>-16.5</v>
      </c>
      <c r="AN18" s="18">
        <f>R4</f>
        <v>0</v>
      </c>
    </row>
    <row r="19" spans="1:40" outlineLevel="1" x14ac:dyDescent="0.2">
      <c r="A19" s="7" t="s">
        <v>9</v>
      </c>
      <c r="Q19" s="9" t="s">
        <v>21</v>
      </c>
      <c r="R19" s="18">
        <f>S4</f>
        <v>0</v>
      </c>
      <c r="S19" s="18">
        <f>S5</f>
        <v>61.625</v>
      </c>
      <c r="T19" s="18">
        <f>S6</f>
        <v>61.625</v>
      </c>
      <c r="U19" s="18">
        <f>S7</f>
        <v>61.625</v>
      </c>
      <c r="V19" s="18">
        <f>S8</f>
        <v>61.625</v>
      </c>
      <c r="W19" s="18">
        <f>S9</f>
        <v>61.625</v>
      </c>
      <c r="X19" s="18">
        <f>S10</f>
        <v>61.625</v>
      </c>
      <c r="Y19" s="18">
        <f>S11</f>
        <v>61.625</v>
      </c>
      <c r="Z19" s="18">
        <f>S12</f>
        <v>61.625</v>
      </c>
      <c r="AA19" s="18">
        <f>S13</f>
        <v>61.625</v>
      </c>
      <c r="AB19" s="18">
        <f>S14</f>
        <v>61.625</v>
      </c>
      <c r="AC19" s="18">
        <f>V14</f>
        <v>61.625</v>
      </c>
      <c r="AD19" s="18">
        <f>V13</f>
        <v>61.625</v>
      </c>
      <c r="AE19" s="18">
        <f>V12</f>
        <v>61.625</v>
      </c>
      <c r="AF19" s="18">
        <f>V11</f>
        <v>61.625</v>
      </c>
      <c r="AG19" s="18">
        <f>V10</f>
        <v>61.625</v>
      </c>
      <c r="AH19" s="18">
        <f>V9</f>
        <v>61.625</v>
      </c>
      <c r="AI19" s="18">
        <f>V8</f>
        <v>61.625</v>
      </c>
      <c r="AJ19" s="18">
        <f>V7</f>
        <v>61.625</v>
      </c>
      <c r="AK19" s="18">
        <f>V6</f>
        <v>61.625</v>
      </c>
      <c r="AL19" s="18">
        <f>V5</f>
        <v>61.625</v>
      </c>
      <c r="AM19" s="18">
        <f>V4</f>
        <v>0</v>
      </c>
      <c r="AN19" s="18">
        <f>S4</f>
        <v>0</v>
      </c>
    </row>
    <row r="20" spans="1:40" outlineLevel="1" x14ac:dyDescent="0.2">
      <c r="A20" s="11" t="s">
        <v>10</v>
      </c>
      <c r="B20" s="17">
        <v>123.25</v>
      </c>
      <c r="C20" s="11" t="s">
        <v>16</v>
      </c>
      <c r="D20" s="17">
        <v>-4.125</v>
      </c>
      <c r="Q20" s="3" t="s">
        <v>27</v>
      </c>
    </row>
    <row r="21" spans="1:40" outlineLevel="1" x14ac:dyDescent="0.2">
      <c r="A21" s="11" t="s">
        <v>11</v>
      </c>
      <c r="B21" s="17">
        <v>1794.375</v>
      </c>
      <c r="C21" s="11" t="s">
        <v>30</v>
      </c>
      <c r="D21" s="17">
        <v>0</v>
      </c>
      <c r="Q21" s="9" t="s">
        <v>22</v>
      </c>
      <c r="R21" s="11">
        <v>1</v>
      </c>
      <c r="S21" s="11">
        <v>2</v>
      </c>
      <c r="T21" s="11">
        <v>3</v>
      </c>
      <c r="U21" s="11">
        <v>4</v>
      </c>
      <c r="V21" s="11">
        <v>5</v>
      </c>
      <c r="W21" s="11">
        <v>6</v>
      </c>
      <c r="X21" s="11">
        <v>7</v>
      </c>
      <c r="Y21" s="11">
        <v>8</v>
      </c>
      <c r="Z21" s="11">
        <v>9</v>
      </c>
      <c r="AA21" s="11">
        <v>10</v>
      </c>
      <c r="AB21" s="11">
        <v>11</v>
      </c>
      <c r="AC21" s="11">
        <v>11</v>
      </c>
      <c r="AD21" s="11">
        <v>10</v>
      </c>
      <c r="AE21" s="11">
        <v>9</v>
      </c>
      <c r="AF21" s="11">
        <v>8</v>
      </c>
      <c r="AG21" s="11">
        <v>7</v>
      </c>
      <c r="AH21" s="11">
        <v>6</v>
      </c>
      <c r="AI21" s="11">
        <v>5</v>
      </c>
      <c r="AJ21" s="11">
        <v>4</v>
      </c>
      <c r="AK21" s="11">
        <v>3</v>
      </c>
      <c r="AL21" s="11">
        <v>2</v>
      </c>
      <c r="AM21" s="11">
        <v>1</v>
      </c>
      <c r="AN21" s="11">
        <v>1</v>
      </c>
    </row>
    <row r="22" spans="1:40" outlineLevel="1" x14ac:dyDescent="0.2">
      <c r="A22" s="11" t="s">
        <v>12</v>
      </c>
      <c r="B22" s="17">
        <v>7.4696969696969697</v>
      </c>
      <c r="C22" s="11" t="s">
        <v>31</v>
      </c>
      <c r="D22" s="17">
        <v>0</v>
      </c>
      <c r="Q22" s="16" t="s">
        <v>20</v>
      </c>
      <c r="R22" s="18">
        <f>R18</f>
        <v>0</v>
      </c>
      <c r="S22" s="18">
        <f t="shared" ref="S22:AN22" si="4">S18</f>
        <v>0</v>
      </c>
      <c r="T22" s="18">
        <f t="shared" si="4"/>
        <v>0</v>
      </c>
      <c r="U22" s="18">
        <f t="shared" si="4"/>
        <v>0</v>
      </c>
      <c r="V22" s="18">
        <f t="shared" si="4"/>
        <v>0</v>
      </c>
      <c r="W22" s="18">
        <f t="shared" si="4"/>
        <v>0</v>
      </c>
      <c r="X22" s="18">
        <f t="shared" si="4"/>
        <v>0</v>
      </c>
      <c r="Y22" s="18">
        <f t="shared" si="4"/>
        <v>0</v>
      </c>
      <c r="Z22" s="18">
        <f t="shared" si="4"/>
        <v>0</v>
      </c>
      <c r="AA22" s="18">
        <f t="shared" si="4"/>
        <v>0</v>
      </c>
      <c r="AB22" s="18">
        <f t="shared" si="4"/>
        <v>0</v>
      </c>
      <c r="AC22" s="18">
        <f t="shared" si="4"/>
        <v>0</v>
      </c>
      <c r="AD22" s="18">
        <f t="shared" si="4"/>
        <v>0</v>
      </c>
      <c r="AE22" s="18">
        <f t="shared" si="4"/>
        <v>0</v>
      </c>
      <c r="AF22" s="18">
        <f t="shared" si="4"/>
        <v>0</v>
      </c>
      <c r="AG22" s="18">
        <f t="shared" si="4"/>
        <v>0</v>
      </c>
      <c r="AH22" s="18">
        <f t="shared" si="4"/>
        <v>0</v>
      </c>
      <c r="AI22" s="18">
        <f t="shared" si="4"/>
        <v>0</v>
      </c>
      <c r="AJ22" s="18">
        <f t="shared" si="4"/>
        <v>0</v>
      </c>
      <c r="AK22" s="18">
        <f t="shared" si="4"/>
        <v>0</v>
      </c>
      <c r="AL22" s="18">
        <f t="shared" si="4"/>
        <v>-16.5</v>
      </c>
      <c r="AM22" s="18">
        <f t="shared" si="4"/>
        <v>-16.5</v>
      </c>
      <c r="AN22" s="18">
        <f t="shared" si="4"/>
        <v>0</v>
      </c>
    </row>
    <row r="23" spans="1:40" outlineLevel="1" x14ac:dyDescent="0.2">
      <c r="A23" s="11" t="s">
        <v>13</v>
      </c>
      <c r="B23" s="17">
        <v>-8.25</v>
      </c>
      <c r="C23" s="11" t="s">
        <v>17</v>
      </c>
      <c r="D23" s="17">
        <v>1</v>
      </c>
      <c r="F23" s="1"/>
      <c r="G23" s="1"/>
      <c r="H23" s="1"/>
      <c r="I23" s="1"/>
      <c r="J23" s="1"/>
      <c r="K23" s="1"/>
      <c r="L23" s="1"/>
      <c r="M23" s="1"/>
      <c r="Q23" s="9" t="s">
        <v>21</v>
      </c>
      <c r="R23" s="18">
        <f>-R19</f>
        <v>0</v>
      </c>
      <c r="S23" s="18">
        <f t="shared" ref="S23:AN23" si="5">-S19</f>
        <v>-61.625</v>
      </c>
      <c r="T23" s="18">
        <f t="shared" si="5"/>
        <v>-61.625</v>
      </c>
      <c r="U23" s="18">
        <f t="shared" si="5"/>
        <v>-61.625</v>
      </c>
      <c r="V23" s="18">
        <f t="shared" si="5"/>
        <v>-61.625</v>
      </c>
      <c r="W23" s="18">
        <f t="shared" si="5"/>
        <v>-61.625</v>
      </c>
      <c r="X23" s="18">
        <f t="shared" si="5"/>
        <v>-61.625</v>
      </c>
      <c r="Y23" s="18">
        <f t="shared" si="5"/>
        <v>-61.625</v>
      </c>
      <c r="Z23" s="18">
        <f t="shared" si="5"/>
        <v>-61.625</v>
      </c>
      <c r="AA23" s="18">
        <f t="shared" si="5"/>
        <v>-61.625</v>
      </c>
      <c r="AB23" s="18">
        <f t="shared" si="5"/>
        <v>-61.625</v>
      </c>
      <c r="AC23" s="18">
        <f t="shared" si="5"/>
        <v>-61.625</v>
      </c>
      <c r="AD23" s="18">
        <f t="shared" si="5"/>
        <v>-61.625</v>
      </c>
      <c r="AE23" s="18">
        <f t="shared" si="5"/>
        <v>-61.625</v>
      </c>
      <c r="AF23" s="18">
        <f t="shared" si="5"/>
        <v>-61.625</v>
      </c>
      <c r="AG23" s="18">
        <f t="shared" si="5"/>
        <v>-61.625</v>
      </c>
      <c r="AH23" s="18">
        <f t="shared" si="5"/>
        <v>-61.625</v>
      </c>
      <c r="AI23" s="18">
        <f t="shared" si="5"/>
        <v>-61.625</v>
      </c>
      <c r="AJ23" s="18">
        <f t="shared" si="5"/>
        <v>-61.625</v>
      </c>
      <c r="AK23" s="18">
        <f t="shared" si="5"/>
        <v>-61.625</v>
      </c>
      <c r="AL23" s="18">
        <f t="shared" si="5"/>
        <v>-61.625</v>
      </c>
      <c r="AM23" s="18">
        <f t="shared" si="5"/>
        <v>0</v>
      </c>
      <c r="AN23" s="18">
        <f t="shared" si="5"/>
        <v>0</v>
      </c>
    </row>
    <row r="24" spans="1:40" ht="14.25" outlineLevel="1" x14ac:dyDescent="0.2">
      <c r="A24" s="11" t="s">
        <v>14</v>
      </c>
      <c r="B24" s="17">
        <v>30.8125</v>
      </c>
      <c r="C24" s="11" t="s">
        <v>32</v>
      </c>
      <c r="D24" s="17">
        <v>4.822192490016298</v>
      </c>
      <c r="F24" s="1"/>
      <c r="G24" s="1"/>
      <c r="H24" s="1"/>
      <c r="I24" s="1"/>
      <c r="J24" s="1"/>
      <c r="K24" s="1"/>
      <c r="L24" s="1"/>
      <c r="M24" s="1"/>
    </row>
    <row r="25" spans="1:40" outlineLevel="1" x14ac:dyDescent="0.2">
      <c r="A25" s="11" t="s">
        <v>15</v>
      </c>
      <c r="B25" s="17">
        <v>16.5</v>
      </c>
      <c r="F25" s="1"/>
      <c r="G25" s="1"/>
      <c r="H25" s="1"/>
      <c r="I25" s="1"/>
      <c r="J25" s="1"/>
      <c r="K25" s="1"/>
      <c r="L25" s="1"/>
      <c r="M25" s="1"/>
    </row>
    <row r="26" spans="1:40" outlineLevel="1" x14ac:dyDescent="0.2">
      <c r="F26" s="1"/>
      <c r="G26" s="1"/>
      <c r="H26" s="1"/>
      <c r="I26" s="1"/>
      <c r="J26" s="1"/>
      <c r="K26" s="1"/>
      <c r="L26" s="1"/>
      <c r="M26" s="1"/>
    </row>
    <row r="27" spans="1:40" ht="15" x14ac:dyDescent="0.25">
      <c r="A27" s="2" t="s">
        <v>18</v>
      </c>
    </row>
    <row r="28" spans="1:40" hidden="1" outlineLevel="1" x14ac:dyDescent="0.2">
      <c r="Q28" s="4" t="s">
        <v>23</v>
      </c>
      <c r="R28" s="5"/>
      <c r="S28" s="5"/>
      <c r="T28" s="4" t="s">
        <v>24</v>
      </c>
      <c r="W28" s="6"/>
      <c r="X28" s="6" t="s">
        <v>33</v>
      </c>
      <c r="Y28" s="6"/>
      <c r="Z28" s="6"/>
      <c r="AA28" s="6"/>
      <c r="AB28" s="6"/>
    </row>
    <row r="29" spans="1:40" hidden="1" outlineLevel="1" x14ac:dyDescent="0.2">
      <c r="A29" s="7" t="s">
        <v>8</v>
      </c>
      <c r="E29" s="8"/>
      <c r="Q29" s="9" t="s">
        <v>22</v>
      </c>
      <c r="R29" s="9" t="s">
        <v>20</v>
      </c>
      <c r="S29" s="9" t="s">
        <v>21</v>
      </c>
      <c r="T29" s="9" t="s">
        <v>22</v>
      </c>
      <c r="U29" s="9" t="s">
        <v>20</v>
      </c>
      <c r="V29" s="9" t="s">
        <v>21</v>
      </c>
      <c r="W29" s="10"/>
      <c r="X29" s="9" t="s">
        <v>22</v>
      </c>
      <c r="Y29" s="9" t="s">
        <v>20</v>
      </c>
      <c r="Z29" s="9" t="s">
        <v>21</v>
      </c>
      <c r="AA29" s="10"/>
      <c r="AB29" s="10"/>
    </row>
    <row r="30" spans="1:40" hidden="1" outlineLevel="1" x14ac:dyDescent="0.2">
      <c r="A30" s="11" t="s">
        <v>1</v>
      </c>
      <c r="B30" s="11" t="s">
        <v>2</v>
      </c>
      <c r="C30" s="11" t="s">
        <v>25</v>
      </c>
      <c r="D30" s="15" t="s">
        <v>29</v>
      </c>
      <c r="E30" s="9" t="s">
        <v>28</v>
      </c>
      <c r="Q30" s="11">
        <v>1</v>
      </c>
      <c r="R30" s="18">
        <f>C31</f>
        <v>0</v>
      </c>
      <c r="S30" s="18">
        <f>B31</f>
        <v>0</v>
      </c>
      <c r="T30" s="11">
        <v>1</v>
      </c>
      <c r="U30" s="18">
        <f>C31-A31</f>
        <v>-10</v>
      </c>
      <c r="V30" s="18">
        <f>S30</f>
        <v>0</v>
      </c>
      <c r="W30" s="6"/>
      <c r="X30" s="11">
        <v>1</v>
      </c>
      <c r="Y30" s="18">
        <f>B50</f>
        <v>12.484889019046182</v>
      </c>
      <c r="Z30" s="18">
        <f>B49+0.5*B51</f>
        <v>-1.2470024123603309</v>
      </c>
      <c r="AA30" s="6"/>
      <c r="AB30" s="6"/>
    </row>
    <row r="31" spans="1:40" hidden="1" outlineLevel="1" x14ac:dyDescent="0.2">
      <c r="A31" s="12">
        <v>10</v>
      </c>
      <c r="B31" s="12">
        <v>0</v>
      </c>
      <c r="C31" s="12">
        <v>0</v>
      </c>
      <c r="D31" s="12">
        <v>5</v>
      </c>
      <c r="E31" s="12">
        <v>2</v>
      </c>
      <c r="Q31" s="11">
        <v>2</v>
      </c>
      <c r="R31" s="18">
        <f>R30-D34</f>
        <v>-2</v>
      </c>
      <c r="S31" s="18">
        <f>S30+C34*COS(E34*PI()/180)</f>
        <v>23.5</v>
      </c>
      <c r="T31" s="11">
        <v>2</v>
      </c>
      <c r="U31" s="18">
        <f>R31-B34</f>
        <v>-9.5</v>
      </c>
      <c r="V31" s="18">
        <f t="shared" ref="V31:V40" si="6">S31</f>
        <v>23.5</v>
      </c>
      <c r="W31" s="6"/>
      <c r="X31" s="11">
        <v>2</v>
      </c>
      <c r="Y31" s="18">
        <f>B50</f>
        <v>12.484889019046182</v>
      </c>
      <c r="Z31" s="18">
        <f>D46</f>
        <v>-3.3746286659405467</v>
      </c>
      <c r="AA31" s="6"/>
      <c r="AB31" s="6"/>
    </row>
    <row r="32" spans="1:40" hidden="1" outlineLevel="1" x14ac:dyDescent="0.2">
      <c r="Q32" s="11">
        <v>3</v>
      </c>
      <c r="R32" s="18">
        <f t="shared" ref="R32:R40" si="7">R31-D35</f>
        <v>-7</v>
      </c>
      <c r="S32" s="18">
        <f t="shared" ref="S32:S40" si="8">S31+C35*COS(E35*PI()/180)</f>
        <v>27.484778792366981</v>
      </c>
      <c r="T32" s="11">
        <v>3</v>
      </c>
      <c r="U32" s="18">
        <f t="shared" ref="U32:U40" si="9">R32-B35</f>
        <v>-10</v>
      </c>
      <c r="V32" s="18">
        <f t="shared" si="6"/>
        <v>27.484778792366981</v>
      </c>
      <c r="W32" s="6"/>
      <c r="X32" s="11">
        <v>3</v>
      </c>
      <c r="Y32" s="18">
        <f>B50</f>
        <v>12.484889019046182</v>
      </c>
      <c r="Z32" s="18">
        <f>B49-0.5*B51</f>
        <v>-9.7575074266811939</v>
      </c>
      <c r="AA32" s="6"/>
      <c r="AB32" s="6"/>
    </row>
    <row r="33" spans="1:40" hidden="1" outlineLevel="1" x14ac:dyDescent="0.2">
      <c r="A33" s="13" t="s">
        <v>3</v>
      </c>
      <c r="B33" s="14" t="s">
        <v>4</v>
      </c>
      <c r="C33" s="14" t="s">
        <v>5</v>
      </c>
      <c r="D33" s="14" t="s">
        <v>6</v>
      </c>
      <c r="E33" s="14" t="s">
        <v>7</v>
      </c>
      <c r="Q33" s="11">
        <v>4</v>
      </c>
      <c r="R33" s="18">
        <f t="shared" si="7"/>
        <v>-7</v>
      </c>
      <c r="S33" s="18">
        <f t="shared" si="8"/>
        <v>27.484778792366981</v>
      </c>
      <c r="T33" s="11">
        <v>4</v>
      </c>
      <c r="U33" s="18">
        <f t="shared" si="9"/>
        <v>-7</v>
      </c>
      <c r="V33" s="18">
        <f t="shared" si="6"/>
        <v>27.484778792366981</v>
      </c>
      <c r="W33" s="6"/>
      <c r="X33" s="6"/>
      <c r="Y33" s="6"/>
      <c r="Z33" s="6"/>
      <c r="AA33" s="6"/>
      <c r="AB33" s="6"/>
    </row>
    <row r="34" spans="1:40" hidden="1" outlineLevel="1" x14ac:dyDescent="0.2">
      <c r="A34" s="11">
        <v>1</v>
      </c>
      <c r="B34" s="12">
        <v>7.5</v>
      </c>
      <c r="C34" s="12">
        <v>23.5</v>
      </c>
      <c r="D34" s="12">
        <v>2</v>
      </c>
      <c r="E34" s="12">
        <v>0</v>
      </c>
      <c r="Q34" s="11">
        <v>5</v>
      </c>
      <c r="R34" s="18">
        <f t="shared" si="7"/>
        <v>-7</v>
      </c>
      <c r="S34" s="18">
        <f t="shared" si="8"/>
        <v>27.484778792366981</v>
      </c>
      <c r="T34" s="11">
        <v>5</v>
      </c>
      <c r="U34" s="18">
        <f t="shared" si="9"/>
        <v>-7</v>
      </c>
      <c r="V34" s="18">
        <f t="shared" si="6"/>
        <v>27.484778792366981</v>
      </c>
      <c r="W34" s="6"/>
      <c r="X34" s="6"/>
      <c r="Y34" s="6"/>
      <c r="Z34" s="6"/>
      <c r="AA34" s="6"/>
      <c r="AB34" s="6"/>
    </row>
    <row r="35" spans="1:40" hidden="1" outlineLevel="1" x14ac:dyDescent="0.2">
      <c r="A35" s="15">
        <v>2</v>
      </c>
      <c r="B35" s="12">
        <v>3</v>
      </c>
      <c r="C35" s="12">
        <v>4</v>
      </c>
      <c r="D35" s="12">
        <v>5</v>
      </c>
      <c r="E35" s="12">
        <v>5</v>
      </c>
      <c r="Q35" s="11">
        <v>6</v>
      </c>
      <c r="R35" s="18">
        <f t="shared" si="7"/>
        <v>-7</v>
      </c>
      <c r="S35" s="18">
        <f t="shared" si="8"/>
        <v>27.484778792366981</v>
      </c>
      <c r="T35" s="11">
        <v>6</v>
      </c>
      <c r="U35" s="18">
        <f t="shared" si="9"/>
        <v>-7</v>
      </c>
      <c r="V35" s="18">
        <f t="shared" si="6"/>
        <v>27.484778792366981</v>
      </c>
      <c r="W35" s="6"/>
      <c r="X35" s="6"/>
      <c r="Y35" s="6"/>
      <c r="Z35" s="6"/>
      <c r="AA35" s="6"/>
      <c r="AB35" s="6"/>
    </row>
    <row r="36" spans="1:40" hidden="1" outlineLevel="1" x14ac:dyDescent="0.2">
      <c r="A36" s="15"/>
      <c r="B36" s="15"/>
      <c r="C36" s="15"/>
      <c r="D36" s="15"/>
      <c r="E36" s="15"/>
      <c r="Q36" s="11">
        <v>7</v>
      </c>
      <c r="R36" s="18">
        <f t="shared" si="7"/>
        <v>-7</v>
      </c>
      <c r="S36" s="18">
        <f t="shared" si="8"/>
        <v>27.484778792366981</v>
      </c>
      <c r="T36" s="11">
        <v>7</v>
      </c>
      <c r="U36" s="18">
        <f t="shared" si="9"/>
        <v>-7</v>
      </c>
      <c r="V36" s="18">
        <f t="shared" si="6"/>
        <v>27.484778792366981</v>
      </c>
      <c r="W36" s="6"/>
      <c r="X36" s="6"/>
      <c r="Y36" s="6"/>
      <c r="Z36" s="6"/>
      <c r="AA36" s="6"/>
      <c r="AB36" s="6"/>
    </row>
    <row r="37" spans="1:40" hidden="1" outlineLevel="1" x14ac:dyDescent="0.2">
      <c r="A37" s="15"/>
      <c r="B37" s="15"/>
      <c r="C37" s="15"/>
      <c r="D37" s="15"/>
      <c r="E37" s="15"/>
      <c r="Q37" s="11">
        <v>8</v>
      </c>
      <c r="R37" s="18">
        <f t="shared" si="7"/>
        <v>-7</v>
      </c>
      <c r="S37" s="18">
        <f t="shared" si="8"/>
        <v>27.484778792366981</v>
      </c>
      <c r="T37" s="11">
        <v>8</v>
      </c>
      <c r="U37" s="18">
        <f t="shared" si="9"/>
        <v>-7</v>
      </c>
      <c r="V37" s="18">
        <f t="shared" si="6"/>
        <v>27.484778792366981</v>
      </c>
      <c r="W37" s="6"/>
      <c r="X37" s="6"/>
      <c r="Y37" s="6"/>
      <c r="Z37" s="6"/>
      <c r="AA37" s="6"/>
      <c r="AB37" s="6"/>
    </row>
    <row r="38" spans="1:40" hidden="1" outlineLevel="1" x14ac:dyDescent="0.2">
      <c r="A38" s="15"/>
      <c r="B38" s="15"/>
      <c r="C38" s="15"/>
      <c r="D38" s="15"/>
      <c r="E38" s="15"/>
      <c r="Q38" s="11">
        <v>9</v>
      </c>
      <c r="R38" s="18">
        <f t="shared" si="7"/>
        <v>-7</v>
      </c>
      <c r="S38" s="18">
        <f t="shared" si="8"/>
        <v>27.484778792366981</v>
      </c>
      <c r="T38" s="11">
        <v>9</v>
      </c>
      <c r="U38" s="18">
        <f t="shared" si="9"/>
        <v>-7</v>
      </c>
      <c r="V38" s="18">
        <f t="shared" si="6"/>
        <v>27.484778792366981</v>
      </c>
      <c r="W38" s="6"/>
      <c r="X38" s="6"/>
      <c r="Y38" s="6"/>
      <c r="Z38" s="6"/>
      <c r="AA38" s="6"/>
      <c r="AB38" s="6"/>
    </row>
    <row r="39" spans="1:40" hidden="1" outlineLevel="1" x14ac:dyDescent="0.2">
      <c r="A39" s="15"/>
      <c r="B39" s="15"/>
      <c r="C39" s="15"/>
      <c r="D39" s="15"/>
      <c r="E39" s="15"/>
      <c r="Q39" s="11">
        <v>10</v>
      </c>
      <c r="R39" s="18">
        <f t="shared" si="7"/>
        <v>-7</v>
      </c>
      <c r="S39" s="18">
        <f t="shared" si="8"/>
        <v>27.484778792366981</v>
      </c>
      <c r="T39" s="11">
        <v>10</v>
      </c>
      <c r="U39" s="18">
        <f t="shared" si="9"/>
        <v>-7</v>
      </c>
      <c r="V39" s="18">
        <f t="shared" si="6"/>
        <v>27.484778792366981</v>
      </c>
      <c r="W39" s="6"/>
      <c r="X39" s="6"/>
      <c r="Y39" s="6"/>
      <c r="Z39" s="6"/>
      <c r="AA39" s="6"/>
      <c r="AB39" s="6"/>
    </row>
    <row r="40" spans="1:40" hidden="1" outlineLevel="1" x14ac:dyDescent="0.2">
      <c r="A40" s="15"/>
      <c r="B40" s="15"/>
      <c r="C40" s="15"/>
      <c r="D40" s="15"/>
      <c r="E40" s="15"/>
      <c r="Q40" s="11">
        <v>11</v>
      </c>
      <c r="R40" s="18">
        <f t="shared" si="7"/>
        <v>-7</v>
      </c>
      <c r="S40" s="18">
        <f t="shared" si="8"/>
        <v>27.484778792366981</v>
      </c>
      <c r="T40" s="11">
        <v>11</v>
      </c>
      <c r="U40" s="18">
        <f t="shared" si="9"/>
        <v>-7</v>
      </c>
      <c r="V40" s="18">
        <f t="shared" si="6"/>
        <v>27.484778792366981</v>
      </c>
      <c r="W40" s="6"/>
      <c r="X40" s="6"/>
      <c r="Y40" s="6"/>
      <c r="Z40" s="6"/>
      <c r="AA40" s="6"/>
      <c r="AB40" s="6"/>
    </row>
    <row r="41" spans="1:40" hidden="1" outlineLevel="1" x14ac:dyDescent="0.2">
      <c r="A41" s="15"/>
      <c r="B41" s="15"/>
      <c r="C41" s="15"/>
      <c r="D41" s="15"/>
      <c r="E41" s="15"/>
    </row>
    <row r="42" spans="1:40" hidden="1" outlineLevel="1" x14ac:dyDescent="0.2">
      <c r="A42" s="15"/>
      <c r="B42" s="15"/>
      <c r="C42" s="15"/>
      <c r="D42" s="15"/>
      <c r="E42" s="15"/>
      <c r="Q42" s="3" t="s">
        <v>26</v>
      </c>
    </row>
    <row r="43" spans="1:40" hidden="1" outlineLevel="1" x14ac:dyDescent="0.2">
      <c r="A43" s="15"/>
      <c r="B43" s="15"/>
      <c r="C43" s="15"/>
      <c r="D43" s="15"/>
      <c r="E43" s="15"/>
      <c r="Q43" s="9" t="s">
        <v>22</v>
      </c>
      <c r="R43" s="11">
        <v>1</v>
      </c>
      <c r="S43" s="11">
        <v>2</v>
      </c>
      <c r="T43" s="11">
        <v>3</v>
      </c>
      <c r="U43" s="11">
        <v>4</v>
      </c>
      <c r="V43" s="11">
        <v>5</v>
      </c>
      <c r="W43" s="11">
        <v>6</v>
      </c>
      <c r="X43" s="11">
        <v>7</v>
      </c>
      <c r="Y43" s="11">
        <v>8</v>
      </c>
      <c r="Z43" s="11">
        <v>9</v>
      </c>
      <c r="AA43" s="11">
        <v>10</v>
      </c>
      <c r="AB43" s="11">
        <v>11</v>
      </c>
      <c r="AC43" s="11">
        <v>11</v>
      </c>
      <c r="AD43" s="11">
        <v>10</v>
      </c>
      <c r="AE43" s="11">
        <v>9</v>
      </c>
      <c r="AF43" s="11">
        <v>8</v>
      </c>
      <c r="AG43" s="11">
        <v>7</v>
      </c>
      <c r="AH43" s="11">
        <v>6</v>
      </c>
      <c r="AI43" s="11">
        <v>5</v>
      </c>
      <c r="AJ43" s="11">
        <v>4</v>
      </c>
      <c r="AK43" s="11">
        <v>3</v>
      </c>
      <c r="AL43" s="11">
        <v>2</v>
      </c>
      <c r="AM43" s="11">
        <v>1</v>
      </c>
      <c r="AN43" s="11">
        <v>1</v>
      </c>
    </row>
    <row r="44" spans="1:40" hidden="1" outlineLevel="1" x14ac:dyDescent="0.2">
      <c r="Q44" s="16" t="s">
        <v>20</v>
      </c>
      <c r="R44" s="18">
        <f>R30</f>
        <v>0</v>
      </c>
      <c r="S44" s="18">
        <f>R31</f>
        <v>-2</v>
      </c>
      <c r="T44" s="18">
        <f>R32</f>
        <v>-7</v>
      </c>
      <c r="U44" s="18">
        <f>R33</f>
        <v>-7</v>
      </c>
      <c r="V44" s="18">
        <f>R34</f>
        <v>-7</v>
      </c>
      <c r="W44" s="18">
        <f>R35</f>
        <v>-7</v>
      </c>
      <c r="X44" s="18">
        <f>R36</f>
        <v>-7</v>
      </c>
      <c r="Y44" s="18">
        <f>R37</f>
        <v>-7</v>
      </c>
      <c r="Z44" s="18">
        <f>R38</f>
        <v>-7</v>
      </c>
      <c r="AA44" s="18">
        <f>R39</f>
        <v>-7</v>
      </c>
      <c r="AB44" s="18">
        <f>R40</f>
        <v>-7</v>
      </c>
      <c r="AC44" s="18">
        <f>U40</f>
        <v>-7</v>
      </c>
      <c r="AD44" s="18">
        <f>U39</f>
        <v>-7</v>
      </c>
      <c r="AE44" s="18">
        <f>U38</f>
        <v>-7</v>
      </c>
      <c r="AF44" s="18">
        <f>U37</f>
        <v>-7</v>
      </c>
      <c r="AG44" s="18">
        <f>U36</f>
        <v>-7</v>
      </c>
      <c r="AH44" s="18">
        <f>U35</f>
        <v>-7</v>
      </c>
      <c r="AI44" s="18">
        <f>U34</f>
        <v>-7</v>
      </c>
      <c r="AJ44" s="18">
        <f>U33</f>
        <v>-7</v>
      </c>
      <c r="AK44" s="18">
        <f>U32</f>
        <v>-10</v>
      </c>
      <c r="AL44" s="18">
        <f>U31</f>
        <v>-9.5</v>
      </c>
      <c r="AM44" s="18">
        <f>U30</f>
        <v>-10</v>
      </c>
      <c r="AN44" s="18">
        <f>R30</f>
        <v>0</v>
      </c>
    </row>
    <row r="45" spans="1:40" hidden="1" outlineLevel="1" x14ac:dyDescent="0.2">
      <c r="A45" s="7" t="s">
        <v>9</v>
      </c>
      <c r="Q45" s="9" t="s">
        <v>21</v>
      </c>
      <c r="R45" s="18">
        <f>S30</f>
        <v>0</v>
      </c>
      <c r="S45" s="18">
        <f>S31</f>
        <v>23.5</v>
      </c>
      <c r="T45" s="18">
        <f>S32</f>
        <v>27.484778792366981</v>
      </c>
      <c r="U45" s="18">
        <f>S33</f>
        <v>27.484778792366981</v>
      </c>
      <c r="V45" s="18">
        <f>S34</f>
        <v>27.484778792366981</v>
      </c>
      <c r="W45" s="18">
        <f>S35</f>
        <v>27.484778792366981</v>
      </c>
      <c r="X45" s="18">
        <f>S36</f>
        <v>27.484778792366981</v>
      </c>
      <c r="Y45" s="18">
        <f>S37</f>
        <v>27.484778792366981</v>
      </c>
      <c r="Z45" s="18">
        <f>S38</f>
        <v>27.484778792366981</v>
      </c>
      <c r="AA45" s="18">
        <f>S39</f>
        <v>27.484778792366981</v>
      </c>
      <c r="AB45" s="18">
        <f>S40</f>
        <v>27.484778792366981</v>
      </c>
      <c r="AC45" s="18">
        <f>V40</f>
        <v>27.484778792366981</v>
      </c>
      <c r="AD45" s="18">
        <f>V39</f>
        <v>27.484778792366981</v>
      </c>
      <c r="AE45" s="18">
        <f>V38</f>
        <v>27.484778792366981</v>
      </c>
      <c r="AF45" s="18">
        <f>V37</f>
        <v>27.484778792366981</v>
      </c>
      <c r="AG45" s="18">
        <f>V36</f>
        <v>27.484778792366981</v>
      </c>
      <c r="AH45" s="18">
        <f>V35</f>
        <v>27.484778792366981</v>
      </c>
      <c r="AI45" s="18">
        <f>V34</f>
        <v>27.484778792366981</v>
      </c>
      <c r="AJ45" s="18">
        <f>V33</f>
        <v>27.484778792366981</v>
      </c>
      <c r="AK45" s="18">
        <f>V32</f>
        <v>27.484778792366981</v>
      </c>
      <c r="AL45" s="18">
        <f>V31</f>
        <v>23.5</v>
      </c>
      <c r="AM45" s="18">
        <f>V30</f>
        <v>0</v>
      </c>
      <c r="AN45" s="18">
        <f>S30</f>
        <v>0</v>
      </c>
    </row>
    <row r="46" spans="1:40" hidden="1" outlineLevel="1" x14ac:dyDescent="0.2">
      <c r="A46" s="11" t="s">
        <v>10</v>
      </c>
      <c r="B46" s="17">
        <v>54.969557584733963</v>
      </c>
      <c r="C46" s="11" t="s">
        <v>16</v>
      </c>
      <c r="D46" s="17">
        <v>-3.3746286659405467</v>
      </c>
      <c r="Q46" s="3" t="s">
        <v>27</v>
      </c>
    </row>
    <row r="47" spans="1:40" hidden="1" outlineLevel="1" x14ac:dyDescent="0.2">
      <c r="A47" s="11" t="s">
        <v>11</v>
      </c>
      <c r="B47" s="17">
        <v>453.09017731985335</v>
      </c>
      <c r="C47" s="11" t="s">
        <v>30</v>
      </c>
      <c r="D47" s="17">
        <v>6.5808324683048429</v>
      </c>
      <c r="Q47" s="9" t="s">
        <v>22</v>
      </c>
      <c r="R47" s="11">
        <v>1</v>
      </c>
      <c r="S47" s="11">
        <v>2</v>
      </c>
      <c r="T47" s="11">
        <v>3</v>
      </c>
      <c r="U47" s="11">
        <v>4</v>
      </c>
      <c r="V47" s="11">
        <v>5</v>
      </c>
      <c r="W47" s="11">
        <v>6</v>
      </c>
      <c r="X47" s="11">
        <v>7</v>
      </c>
      <c r="Y47" s="11">
        <v>8</v>
      </c>
      <c r="Z47" s="11">
        <v>9</v>
      </c>
      <c r="AA47" s="11">
        <v>10</v>
      </c>
      <c r="AB47" s="11">
        <v>11</v>
      </c>
      <c r="AC47" s="11">
        <v>11</v>
      </c>
      <c r="AD47" s="11">
        <v>10</v>
      </c>
      <c r="AE47" s="11">
        <v>9</v>
      </c>
      <c r="AF47" s="11">
        <v>8</v>
      </c>
      <c r="AG47" s="11">
        <v>7</v>
      </c>
      <c r="AH47" s="11">
        <v>6</v>
      </c>
      <c r="AI47" s="11">
        <v>5</v>
      </c>
      <c r="AJ47" s="11">
        <v>4</v>
      </c>
      <c r="AK47" s="11">
        <v>3</v>
      </c>
      <c r="AL47" s="11">
        <v>2</v>
      </c>
      <c r="AM47" s="11">
        <v>1</v>
      </c>
      <c r="AN47" s="11">
        <v>1</v>
      </c>
    </row>
    <row r="48" spans="1:40" hidden="1" outlineLevel="1" x14ac:dyDescent="0.2">
      <c r="A48" s="11" t="s">
        <v>12</v>
      </c>
      <c r="B48" s="17">
        <v>6.6689864674075361</v>
      </c>
      <c r="C48" s="11" t="s">
        <v>31</v>
      </c>
      <c r="D48" s="17">
        <v>9.271254339190067</v>
      </c>
      <c r="Q48" s="16" t="s">
        <v>20</v>
      </c>
      <c r="R48" s="18">
        <f>R44</f>
        <v>0</v>
      </c>
      <c r="S48" s="18">
        <f t="shared" ref="S48:AN48" si="10">S44</f>
        <v>-2</v>
      </c>
      <c r="T48" s="18">
        <f t="shared" si="10"/>
        <v>-7</v>
      </c>
      <c r="U48" s="18">
        <f t="shared" si="10"/>
        <v>-7</v>
      </c>
      <c r="V48" s="18">
        <f t="shared" si="10"/>
        <v>-7</v>
      </c>
      <c r="W48" s="18">
        <f t="shared" si="10"/>
        <v>-7</v>
      </c>
      <c r="X48" s="18">
        <f t="shared" si="10"/>
        <v>-7</v>
      </c>
      <c r="Y48" s="18">
        <f t="shared" si="10"/>
        <v>-7</v>
      </c>
      <c r="Z48" s="18">
        <f t="shared" si="10"/>
        <v>-7</v>
      </c>
      <c r="AA48" s="18">
        <f t="shared" si="10"/>
        <v>-7</v>
      </c>
      <c r="AB48" s="18">
        <f t="shared" si="10"/>
        <v>-7</v>
      </c>
      <c r="AC48" s="18">
        <f t="shared" si="10"/>
        <v>-7</v>
      </c>
      <c r="AD48" s="18">
        <f t="shared" si="10"/>
        <v>-7</v>
      </c>
      <c r="AE48" s="18">
        <f t="shared" si="10"/>
        <v>-7</v>
      </c>
      <c r="AF48" s="18">
        <f t="shared" si="10"/>
        <v>-7</v>
      </c>
      <c r="AG48" s="18">
        <f t="shared" si="10"/>
        <v>-7</v>
      </c>
      <c r="AH48" s="18">
        <f t="shared" si="10"/>
        <v>-7</v>
      </c>
      <c r="AI48" s="18">
        <f t="shared" si="10"/>
        <v>-7</v>
      </c>
      <c r="AJ48" s="18">
        <f t="shared" si="10"/>
        <v>-7</v>
      </c>
      <c r="AK48" s="18">
        <f t="shared" si="10"/>
        <v>-10</v>
      </c>
      <c r="AL48" s="18">
        <f t="shared" si="10"/>
        <v>-9.5</v>
      </c>
      <c r="AM48" s="18">
        <f t="shared" si="10"/>
        <v>-10</v>
      </c>
      <c r="AN48" s="18">
        <f t="shared" si="10"/>
        <v>0</v>
      </c>
    </row>
    <row r="49" spans="1:40" hidden="1" outlineLevel="1" x14ac:dyDescent="0.2">
      <c r="A49" s="11" t="s">
        <v>13</v>
      </c>
      <c r="B49" s="17">
        <v>-5.5022549195207624</v>
      </c>
      <c r="C49" s="11" t="s">
        <v>17</v>
      </c>
      <c r="D49" s="17">
        <v>0.699256547128705</v>
      </c>
      <c r="F49" s="1"/>
      <c r="G49" s="1"/>
      <c r="H49" s="1"/>
      <c r="I49" s="1"/>
      <c r="J49" s="1"/>
      <c r="K49" s="1"/>
      <c r="L49" s="1"/>
      <c r="M49" s="1"/>
      <c r="Q49" s="9" t="s">
        <v>21</v>
      </c>
      <c r="R49" s="18">
        <f>-R45</f>
        <v>0</v>
      </c>
      <c r="S49" s="18">
        <f t="shared" ref="S49:AN49" si="11">-S45</f>
        <v>-23.5</v>
      </c>
      <c r="T49" s="18">
        <f t="shared" si="11"/>
        <v>-27.484778792366981</v>
      </c>
      <c r="U49" s="18">
        <f t="shared" si="11"/>
        <v>-27.484778792366981</v>
      </c>
      <c r="V49" s="18">
        <f t="shared" si="11"/>
        <v>-27.484778792366981</v>
      </c>
      <c r="W49" s="18">
        <f t="shared" si="11"/>
        <v>-27.484778792366981</v>
      </c>
      <c r="X49" s="18">
        <f t="shared" si="11"/>
        <v>-27.484778792366981</v>
      </c>
      <c r="Y49" s="18">
        <f t="shared" si="11"/>
        <v>-27.484778792366981</v>
      </c>
      <c r="Z49" s="18">
        <f t="shared" si="11"/>
        <v>-27.484778792366981</v>
      </c>
      <c r="AA49" s="18">
        <f t="shared" si="11"/>
        <v>-27.484778792366981</v>
      </c>
      <c r="AB49" s="18">
        <f t="shared" si="11"/>
        <v>-27.484778792366981</v>
      </c>
      <c r="AC49" s="18">
        <f t="shared" si="11"/>
        <v>-27.484778792366981</v>
      </c>
      <c r="AD49" s="18">
        <f t="shared" si="11"/>
        <v>-27.484778792366981</v>
      </c>
      <c r="AE49" s="18">
        <f t="shared" si="11"/>
        <v>-27.484778792366981</v>
      </c>
      <c r="AF49" s="18">
        <f t="shared" si="11"/>
        <v>-27.484778792366981</v>
      </c>
      <c r="AG49" s="18">
        <f t="shared" si="11"/>
        <v>-27.484778792366981</v>
      </c>
      <c r="AH49" s="18">
        <f t="shared" si="11"/>
        <v>-27.484778792366981</v>
      </c>
      <c r="AI49" s="18">
        <f t="shared" si="11"/>
        <v>-27.484778792366981</v>
      </c>
      <c r="AJ49" s="18">
        <f t="shared" si="11"/>
        <v>-27.484778792366981</v>
      </c>
      <c r="AK49" s="18">
        <f t="shared" si="11"/>
        <v>-27.484778792366981</v>
      </c>
      <c r="AL49" s="18">
        <f t="shared" si="11"/>
        <v>-23.5</v>
      </c>
      <c r="AM49" s="18">
        <f t="shared" si="11"/>
        <v>0</v>
      </c>
      <c r="AN49" s="18">
        <f t="shared" si="11"/>
        <v>0</v>
      </c>
    </row>
    <row r="50" spans="1:40" ht="14.25" hidden="1" outlineLevel="1" x14ac:dyDescent="0.2">
      <c r="A50" s="11" t="s">
        <v>14</v>
      </c>
      <c r="B50" s="17">
        <v>12.484889019046182</v>
      </c>
      <c r="C50" s="11" t="s">
        <v>32</v>
      </c>
      <c r="D50" s="17">
        <v>4.6533460009144267</v>
      </c>
      <c r="F50" s="1"/>
      <c r="G50" s="1"/>
      <c r="H50" s="1"/>
      <c r="I50" s="1"/>
      <c r="J50" s="1"/>
      <c r="K50" s="1"/>
      <c r="L50" s="1"/>
      <c r="M50" s="1"/>
    </row>
    <row r="51" spans="1:40" hidden="1" outlineLevel="1" x14ac:dyDescent="0.2">
      <c r="A51" s="11" t="s">
        <v>15</v>
      </c>
      <c r="B51" s="17">
        <v>8.5105050143208629</v>
      </c>
      <c r="F51" s="1"/>
      <c r="G51" s="1"/>
      <c r="H51" s="1"/>
      <c r="I51" s="1"/>
      <c r="J51" s="1"/>
      <c r="K51" s="1"/>
      <c r="L51" s="1"/>
      <c r="M51" s="1"/>
    </row>
    <row r="52" spans="1:40" hidden="1" outlineLevel="1" x14ac:dyDescent="0.2">
      <c r="D52" s="1"/>
    </row>
    <row r="53" spans="1:40" ht="15" collapsed="1" x14ac:dyDescent="0.25">
      <c r="A53" s="2" t="s">
        <v>19</v>
      </c>
      <c r="D53" s="1"/>
    </row>
    <row r="54" spans="1:40" hidden="1" outlineLevel="1" x14ac:dyDescent="0.2">
      <c r="D54" s="1"/>
      <c r="Q54" s="4" t="s">
        <v>23</v>
      </c>
      <c r="R54" s="5"/>
      <c r="S54" s="5"/>
      <c r="T54" s="4" t="s">
        <v>24</v>
      </c>
      <c r="W54" s="6"/>
      <c r="X54" s="6" t="s">
        <v>33</v>
      </c>
      <c r="Y54" s="6"/>
      <c r="Z54" s="6"/>
      <c r="AA54" s="6"/>
      <c r="AB54" s="6"/>
    </row>
    <row r="55" spans="1:40" hidden="1" outlineLevel="1" x14ac:dyDescent="0.2">
      <c r="A55" s="7" t="s">
        <v>8</v>
      </c>
      <c r="D55" s="1"/>
      <c r="E55" s="8"/>
      <c r="Q55" s="9" t="s">
        <v>22</v>
      </c>
      <c r="R55" s="9" t="s">
        <v>20</v>
      </c>
      <c r="S55" s="9" t="s">
        <v>21</v>
      </c>
      <c r="T55" s="9" t="s">
        <v>22</v>
      </c>
      <c r="U55" s="9" t="s">
        <v>20</v>
      </c>
      <c r="V55" s="9" t="s">
        <v>21</v>
      </c>
      <c r="W55" s="10"/>
      <c r="X55" s="9" t="s">
        <v>22</v>
      </c>
      <c r="Y55" s="9" t="s">
        <v>20</v>
      </c>
      <c r="Z55" s="9" t="s">
        <v>21</v>
      </c>
      <c r="AA55" s="10"/>
      <c r="AB55" s="10"/>
    </row>
    <row r="56" spans="1:40" hidden="1" outlineLevel="1" x14ac:dyDescent="0.2">
      <c r="A56" s="11" t="s">
        <v>1</v>
      </c>
      <c r="B56" s="11" t="s">
        <v>2</v>
      </c>
      <c r="C56" s="11" t="s">
        <v>25</v>
      </c>
      <c r="D56" s="15" t="s">
        <v>29</v>
      </c>
      <c r="E56" s="9" t="s">
        <v>28</v>
      </c>
      <c r="Q56" s="11">
        <v>1</v>
      </c>
      <c r="R56" s="18">
        <f>C57</f>
        <v>4</v>
      </c>
      <c r="S56" s="18">
        <f>B57</f>
        <v>1</v>
      </c>
      <c r="T56" s="11">
        <v>1</v>
      </c>
      <c r="U56" s="18">
        <f>C57-A57</f>
        <v>-8</v>
      </c>
      <c r="V56" s="18">
        <f>S56</f>
        <v>1</v>
      </c>
      <c r="W56" s="6"/>
      <c r="X56" s="11">
        <v>1</v>
      </c>
      <c r="Y56" s="18">
        <f>B76</f>
        <v>14.70598619804205</v>
      </c>
      <c r="Z56" s="18">
        <f>B75+0.5*B77</f>
        <v>2.9106082490771943</v>
      </c>
      <c r="AA56" s="6"/>
      <c r="AB56" s="6"/>
    </row>
    <row r="57" spans="1:40" hidden="1" outlineLevel="1" x14ac:dyDescent="0.2">
      <c r="A57" s="12">
        <v>12</v>
      </c>
      <c r="B57" s="12">
        <v>1</v>
      </c>
      <c r="C57" s="12">
        <v>4</v>
      </c>
      <c r="D57" s="12">
        <v>2</v>
      </c>
      <c r="E57" s="12">
        <v>3</v>
      </c>
      <c r="Q57" s="11">
        <v>2</v>
      </c>
      <c r="R57" s="18">
        <f>R56-D60</f>
        <v>4</v>
      </c>
      <c r="S57" s="18">
        <f>S56+C60*COS(E60*PI()/180)</f>
        <v>4</v>
      </c>
      <c r="T57" s="11">
        <v>2</v>
      </c>
      <c r="U57" s="18">
        <f>R57-B60</f>
        <v>-6</v>
      </c>
      <c r="V57" s="18">
        <f t="shared" ref="V57:V66" si="12">S57</f>
        <v>4</v>
      </c>
      <c r="W57" s="6"/>
      <c r="X57" s="11">
        <v>2</v>
      </c>
      <c r="Y57" s="18">
        <f>B76</f>
        <v>14.70598619804205</v>
      </c>
      <c r="Z57" s="18">
        <f>D72</f>
        <v>0.70313753811587221</v>
      </c>
      <c r="AA57" s="6"/>
      <c r="AB57" s="6"/>
    </row>
    <row r="58" spans="1:40" hidden="1" outlineLevel="1" x14ac:dyDescent="0.2">
      <c r="Q58" s="11">
        <v>3</v>
      </c>
      <c r="R58" s="18">
        <f t="shared" ref="R58:R66" si="13">R57-D61</f>
        <v>2</v>
      </c>
      <c r="S58" s="18">
        <f t="shared" ref="S58:S66" si="14">S57+C61*COS(E61*PI()/180)</f>
        <v>27.5</v>
      </c>
      <c r="T58" s="11">
        <v>3</v>
      </c>
      <c r="U58" s="18">
        <f t="shared" ref="U58:U66" si="15">R58-B61</f>
        <v>-5.5</v>
      </c>
      <c r="V58" s="18">
        <f t="shared" si="12"/>
        <v>27.5</v>
      </c>
      <c r="W58" s="6"/>
      <c r="X58" s="11">
        <v>3</v>
      </c>
      <c r="Y58" s="18">
        <f>B76</f>
        <v>14.70598619804205</v>
      </c>
      <c r="Z58" s="18">
        <f>B75-0.5*B77</f>
        <v>-5.919274594768094</v>
      </c>
      <c r="AA58" s="6"/>
      <c r="AB58" s="6"/>
    </row>
    <row r="59" spans="1:40" hidden="1" outlineLevel="1" x14ac:dyDescent="0.2">
      <c r="A59" s="13" t="s">
        <v>3</v>
      </c>
      <c r="B59" s="14" t="s">
        <v>4</v>
      </c>
      <c r="C59" s="14" t="s">
        <v>5</v>
      </c>
      <c r="D59" s="14" t="s">
        <v>6</v>
      </c>
      <c r="E59" s="14" t="s">
        <v>7</v>
      </c>
      <c r="Q59" s="11">
        <v>4</v>
      </c>
      <c r="R59" s="18">
        <f t="shared" si="13"/>
        <v>-3</v>
      </c>
      <c r="S59" s="18">
        <f t="shared" si="14"/>
        <v>31.5</v>
      </c>
      <c r="T59" s="11">
        <v>4</v>
      </c>
      <c r="U59" s="18">
        <f t="shared" si="15"/>
        <v>-6</v>
      </c>
      <c r="V59" s="18">
        <f t="shared" si="12"/>
        <v>31.5</v>
      </c>
      <c r="W59" s="6"/>
      <c r="X59" s="6"/>
      <c r="Y59" s="6"/>
      <c r="Z59" s="6"/>
      <c r="AA59" s="6"/>
      <c r="AB59" s="6"/>
    </row>
    <row r="60" spans="1:40" hidden="1" outlineLevel="1" x14ac:dyDescent="0.2">
      <c r="A60" s="11">
        <v>1</v>
      </c>
      <c r="B60" s="12">
        <v>10</v>
      </c>
      <c r="C60" s="12">
        <v>3</v>
      </c>
      <c r="D60" s="12">
        <v>0</v>
      </c>
      <c r="E60" s="12">
        <v>0</v>
      </c>
      <c r="Q60" s="11">
        <v>5</v>
      </c>
      <c r="R60" s="18">
        <f t="shared" si="13"/>
        <v>-3</v>
      </c>
      <c r="S60" s="18">
        <f t="shared" si="14"/>
        <v>31.5</v>
      </c>
      <c r="T60" s="11">
        <v>5</v>
      </c>
      <c r="U60" s="18">
        <f t="shared" si="15"/>
        <v>-3</v>
      </c>
      <c r="V60" s="18">
        <f t="shared" si="12"/>
        <v>31.5</v>
      </c>
      <c r="W60" s="6"/>
      <c r="X60" s="6"/>
      <c r="Y60" s="6"/>
      <c r="Z60" s="6"/>
      <c r="AA60" s="6"/>
      <c r="AB60" s="6"/>
    </row>
    <row r="61" spans="1:40" hidden="1" outlineLevel="1" x14ac:dyDescent="0.2">
      <c r="A61" s="15">
        <v>2</v>
      </c>
      <c r="B61" s="12">
        <v>7.5</v>
      </c>
      <c r="C61" s="12">
        <v>23.5</v>
      </c>
      <c r="D61" s="12">
        <v>2</v>
      </c>
      <c r="E61" s="12">
        <v>0</v>
      </c>
      <c r="Q61" s="11">
        <v>6</v>
      </c>
      <c r="R61" s="18">
        <f t="shared" si="13"/>
        <v>-3</v>
      </c>
      <c r="S61" s="18">
        <f t="shared" si="14"/>
        <v>31.5</v>
      </c>
      <c r="T61" s="11">
        <v>6</v>
      </c>
      <c r="U61" s="18">
        <f t="shared" si="15"/>
        <v>-3</v>
      </c>
      <c r="V61" s="18">
        <f t="shared" si="12"/>
        <v>31.5</v>
      </c>
      <c r="W61" s="6"/>
      <c r="X61" s="6"/>
      <c r="Y61" s="6"/>
      <c r="Z61" s="6"/>
      <c r="AA61" s="6"/>
      <c r="AB61" s="6"/>
    </row>
    <row r="62" spans="1:40" hidden="1" outlineLevel="1" x14ac:dyDescent="0.2">
      <c r="A62" s="15">
        <v>3</v>
      </c>
      <c r="B62" s="12">
        <v>3</v>
      </c>
      <c r="C62" s="12">
        <v>4</v>
      </c>
      <c r="D62" s="12">
        <v>5</v>
      </c>
      <c r="E62" s="12">
        <v>0</v>
      </c>
      <c r="Q62" s="11">
        <v>7</v>
      </c>
      <c r="R62" s="18">
        <f t="shared" si="13"/>
        <v>-3</v>
      </c>
      <c r="S62" s="18">
        <f t="shared" si="14"/>
        <v>31.5</v>
      </c>
      <c r="T62" s="11">
        <v>7</v>
      </c>
      <c r="U62" s="18">
        <f t="shared" si="15"/>
        <v>-3</v>
      </c>
      <c r="V62" s="18">
        <f t="shared" si="12"/>
        <v>31.5</v>
      </c>
      <c r="W62" s="6"/>
      <c r="X62" s="6"/>
      <c r="Y62" s="6"/>
      <c r="Z62" s="6"/>
      <c r="AA62" s="6"/>
      <c r="AB62" s="6"/>
    </row>
    <row r="63" spans="1:40" hidden="1" outlineLevel="1" x14ac:dyDescent="0.2">
      <c r="A63" s="15"/>
      <c r="B63" s="15"/>
      <c r="C63" s="15"/>
      <c r="D63" s="15"/>
      <c r="E63" s="15"/>
      <c r="Q63" s="11">
        <v>8</v>
      </c>
      <c r="R63" s="18">
        <f t="shared" si="13"/>
        <v>-3</v>
      </c>
      <c r="S63" s="18">
        <f t="shared" si="14"/>
        <v>31.5</v>
      </c>
      <c r="T63" s="11">
        <v>8</v>
      </c>
      <c r="U63" s="18">
        <f t="shared" si="15"/>
        <v>-3</v>
      </c>
      <c r="V63" s="18">
        <f t="shared" si="12"/>
        <v>31.5</v>
      </c>
      <c r="W63" s="6"/>
      <c r="X63" s="6"/>
      <c r="Y63" s="6"/>
      <c r="Z63" s="6"/>
      <c r="AA63" s="6"/>
      <c r="AB63" s="6"/>
    </row>
    <row r="64" spans="1:40" hidden="1" outlineLevel="1" x14ac:dyDescent="0.2">
      <c r="A64" s="15"/>
      <c r="B64" s="15"/>
      <c r="C64" s="15"/>
      <c r="D64" s="15"/>
      <c r="E64" s="15"/>
      <c r="Q64" s="11">
        <v>9</v>
      </c>
      <c r="R64" s="18">
        <f t="shared" si="13"/>
        <v>-3</v>
      </c>
      <c r="S64" s="18">
        <f t="shared" si="14"/>
        <v>31.5</v>
      </c>
      <c r="T64" s="11">
        <v>9</v>
      </c>
      <c r="U64" s="18">
        <f t="shared" si="15"/>
        <v>-3</v>
      </c>
      <c r="V64" s="18">
        <f t="shared" si="12"/>
        <v>31.5</v>
      </c>
      <c r="W64" s="6"/>
      <c r="X64" s="6"/>
      <c r="Y64" s="6"/>
      <c r="Z64" s="6"/>
      <c r="AA64" s="6"/>
      <c r="AB64" s="6"/>
    </row>
    <row r="65" spans="1:40" hidden="1" outlineLevel="1" x14ac:dyDescent="0.2">
      <c r="A65" s="15"/>
      <c r="B65" s="15"/>
      <c r="C65" s="15"/>
      <c r="D65" s="15"/>
      <c r="E65" s="15"/>
      <c r="Q65" s="11">
        <v>10</v>
      </c>
      <c r="R65" s="18">
        <f t="shared" si="13"/>
        <v>-3</v>
      </c>
      <c r="S65" s="18">
        <f t="shared" si="14"/>
        <v>31.5</v>
      </c>
      <c r="T65" s="11">
        <v>10</v>
      </c>
      <c r="U65" s="18">
        <f t="shared" si="15"/>
        <v>-3</v>
      </c>
      <c r="V65" s="18">
        <f t="shared" si="12"/>
        <v>31.5</v>
      </c>
      <c r="W65" s="6"/>
      <c r="X65" s="6"/>
      <c r="Y65" s="6"/>
      <c r="Z65" s="6"/>
      <c r="AA65" s="6"/>
      <c r="AB65" s="6"/>
    </row>
    <row r="66" spans="1:40" hidden="1" outlineLevel="1" x14ac:dyDescent="0.2">
      <c r="A66" s="15"/>
      <c r="B66" s="15"/>
      <c r="C66" s="15"/>
      <c r="D66" s="15"/>
      <c r="E66" s="15"/>
      <c r="Q66" s="11">
        <v>11</v>
      </c>
      <c r="R66" s="18">
        <f t="shared" si="13"/>
        <v>-3</v>
      </c>
      <c r="S66" s="18">
        <f t="shared" si="14"/>
        <v>31.5</v>
      </c>
      <c r="T66" s="11">
        <v>11</v>
      </c>
      <c r="U66" s="18">
        <f t="shared" si="15"/>
        <v>-3</v>
      </c>
      <c r="V66" s="18">
        <f t="shared" si="12"/>
        <v>31.5</v>
      </c>
      <c r="W66" s="6"/>
      <c r="X66" s="6"/>
      <c r="Y66" s="6"/>
      <c r="Z66" s="6"/>
      <c r="AA66" s="6"/>
      <c r="AB66" s="6"/>
    </row>
    <row r="67" spans="1:40" hidden="1" outlineLevel="1" x14ac:dyDescent="0.2">
      <c r="A67" s="15"/>
      <c r="B67" s="15"/>
      <c r="C67" s="15"/>
      <c r="D67" s="15"/>
      <c r="E67" s="15"/>
    </row>
    <row r="68" spans="1:40" hidden="1" outlineLevel="1" x14ac:dyDescent="0.2">
      <c r="A68" s="15"/>
      <c r="B68" s="15"/>
      <c r="C68" s="15"/>
      <c r="D68" s="15"/>
      <c r="E68" s="15"/>
      <c r="Q68" s="3" t="s">
        <v>26</v>
      </c>
    </row>
    <row r="69" spans="1:40" hidden="1" outlineLevel="1" x14ac:dyDescent="0.2">
      <c r="A69" s="15"/>
      <c r="B69" s="15"/>
      <c r="C69" s="15"/>
      <c r="D69" s="15"/>
      <c r="E69" s="15"/>
      <c r="Q69" s="9" t="s">
        <v>22</v>
      </c>
      <c r="R69" s="11">
        <v>1</v>
      </c>
      <c r="S69" s="11">
        <v>2</v>
      </c>
      <c r="T69" s="11">
        <v>3</v>
      </c>
      <c r="U69" s="11">
        <v>4</v>
      </c>
      <c r="V69" s="11">
        <v>5</v>
      </c>
      <c r="W69" s="11">
        <v>6</v>
      </c>
      <c r="X69" s="11">
        <v>7</v>
      </c>
      <c r="Y69" s="11">
        <v>8</v>
      </c>
      <c r="Z69" s="11">
        <v>9</v>
      </c>
      <c r="AA69" s="11">
        <v>10</v>
      </c>
      <c r="AB69" s="11">
        <v>11</v>
      </c>
      <c r="AC69" s="11">
        <v>11</v>
      </c>
      <c r="AD69" s="11">
        <v>10</v>
      </c>
      <c r="AE69" s="11">
        <v>9</v>
      </c>
      <c r="AF69" s="11">
        <v>8</v>
      </c>
      <c r="AG69" s="11">
        <v>7</v>
      </c>
      <c r="AH69" s="11">
        <v>6</v>
      </c>
      <c r="AI69" s="11">
        <v>5</v>
      </c>
      <c r="AJ69" s="11">
        <v>4</v>
      </c>
      <c r="AK69" s="11">
        <v>3</v>
      </c>
      <c r="AL69" s="11">
        <v>2</v>
      </c>
      <c r="AM69" s="11">
        <v>1</v>
      </c>
      <c r="AN69" s="11">
        <v>1</v>
      </c>
    </row>
    <row r="70" spans="1:40" hidden="1" outlineLevel="1" x14ac:dyDescent="0.2">
      <c r="Q70" s="16" t="s">
        <v>20</v>
      </c>
      <c r="R70" s="18">
        <f>R56</f>
        <v>4</v>
      </c>
      <c r="S70" s="18">
        <f>R57</f>
        <v>4</v>
      </c>
      <c r="T70" s="18">
        <f>R58</f>
        <v>2</v>
      </c>
      <c r="U70" s="18">
        <f>R59</f>
        <v>-3</v>
      </c>
      <c r="V70" s="18">
        <f>R60</f>
        <v>-3</v>
      </c>
      <c r="W70" s="18">
        <f>R61</f>
        <v>-3</v>
      </c>
      <c r="X70" s="18">
        <f>R62</f>
        <v>-3</v>
      </c>
      <c r="Y70" s="18">
        <f>R63</f>
        <v>-3</v>
      </c>
      <c r="Z70" s="18">
        <f>R64</f>
        <v>-3</v>
      </c>
      <c r="AA70" s="18">
        <f>R65</f>
        <v>-3</v>
      </c>
      <c r="AB70" s="18">
        <f>R66</f>
        <v>-3</v>
      </c>
      <c r="AC70" s="18">
        <f>U66</f>
        <v>-3</v>
      </c>
      <c r="AD70" s="18">
        <f>U65</f>
        <v>-3</v>
      </c>
      <c r="AE70" s="18">
        <f>U64</f>
        <v>-3</v>
      </c>
      <c r="AF70" s="18">
        <f>U63</f>
        <v>-3</v>
      </c>
      <c r="AG70" s="18">
        <f>U62</f>
        <v>-3</v>
      </c>
      <c r="AH70" s="18">
        <f>U61</f>
        <v>-3</v>
      </c>
      <c r="AI70" s="18">
        <f>U60</f>
        <v>-3</v>
      </c>
      <c r="AJ70" s="18">
        <f>U59</f>
        <v>-6</v>
      </c>
      <c r="AK70" s="18">
        <f>U58</f>
        <v>-5.5</v>
      </c>
      <c r="AL70" s="18">
        <f>U57</f>
        <v>-6</v>
      </c>
      <c r="AM70" s="18">
        <f>U56</f>
        <v>-8</v>
      </c>
      <c r="AN70" s="18">
        <f>R56</f>
        <v>4</v>
      </c>
    </row>
    <row r="71" spans="1:40" hidden="1" outlineLevel="1" x14ac:dyDescent="0.2">
      <c r="A71" s="7" t="s">
        <v>9</v>
      </c>
      <c r="Q71" s="9" t="s">
        <v>21</v>
      </c>
      <c r="R71" s="18">
        <f>S56</f>
        <v>1</v>
      </c>
      <c r="S71" s="18">
        <f>S57</f>
        <v>4</v>
      </c>
      <c r="T71" s="18">
        <f>S58</f>
        <v>27.5</v>
      </c>
      <c r="U71" s="18">
        <f>S59</f>
        <v>31.5</v>
      </c>
      <c r="V71" s="18">
        <f>S60</f>
        <v>31.5</v>
      </c>
      <c r="W71" s="18">
        <f>S61</f>
        <v>31.5</v>
      </c>
      <c r="X71" s="18">
        <f>S62</f>
        <v>31.5</v>
      </c>
      <c r="Y71" s="18">
        <f>S63</f>
        <v>31.5</v>
      </c>
      <c r="Z71" s="18">
        <f>S64</f>
        <v>31.5</v>
      </c>
      <c r="AA71" s="18">
        <f>S65</f>
        <v>31.5</v>
      </c>
      <c r="AB71" s="18">
        <f>S66</f>
        <v>31.5</v>
      </c>
      <c r="AC71" s="18">
        <f>V66</f>
        <v>31.5</v>
      </c>
      <c r="AD71" s="18">
        <f>V65</f>
        <v>31.5</v>
      </c>
      <c r="AE71" s="18">
        <f>V64</f>
        <v>31.5</v>
      </c>
      <c r="AF71" s="18">
        <f>V63</f>
        <v>31.5</v>
      </c>
      <c r="AG71" s="18">
        <f>V62</f>
        <v>31.5</v>
      </c>
      <c r="AH71" s="18">
        <f>V61</f>
        <v>31.5</v>
      </c>
      <c r="AI71" s="18">
        <f>V60</f>
        <v>31.5</v>
      </c>
      <c r="AJ71" s="18">
        <f>V59</f>
        <v>31.5</v>
      </c>
      <c r="AK71" s="18">
        <f>V58</f>
        <v>27.5</v>
      </c>
      <c r="AL71" s="18">
        <f>V57</f>
        <v>4</v>
      </c>
      <c r="AM71" s="18">
        <f>V56</f>
        <v>1</v>
      </c>
      <c r="AN71" s="18">
        <f>S56</f>
        <v>1</v>
      </c>
    </row>
    <row r="72" spans="1:40" hidden="1" outlineLevel="1" x14ac:dyDescent="0.2">
      <c r="A72" s="11" t="s">
        <v>10</v>
      </c>
      <c r="B72" s="17">
        <v>63</v>
      </c>
      <c r="C72" s="11" t="s">
        <v>16</v>
      </c>
      <c r="D72" s="17">
        <v>0.70313753811587221</v>
      </c>
      <c r="Q72" s="3" t="s">
        <v>27</v>
      </c>
    </row>
    <row r="73" spans="1:40" hidden="1" outlineLevel="1" x14ac:dyDescent="0.2">
      <c r="A73" s="11" t="s">
        <v>11</v>
      </c>
      <c r="B73" s="17">
        <v>519.25</v>
      </c>
      <c r="C73" s="11" t="s">
        <v>30</v>
      </c>
      <c r="D73" s="17">
        <v>4.1208688269860714</v>
      </c>
      <c r="Q73" s="9" t="s">
        <v>22</v>
      </c>
      <c r="R73" s="11">
        <v>1</v>
      </c>
      <c r="S73" s="11">
        <v>2</v>
      </c>
      <c r="T73" s="11">
        <v>3</v>
      </c>
      <c r="U73" s="11">
        <v>4</v>
      </c>
      <c r="V73" s="11">
        <v>5</v>
      </c>
      <c r="W73" s="11">
        <v>6</v>
      </c>
      <c r="X73" s="11">
        <v>7</v>
      </c>
      <c r="Y73" s="11">
        <v>8</v>
      </c>
      <c r="Z73" s="11">
        <v>9</v>
      </c>
      <c r="AA73" s="11">
        <v>10</v>
      </c>
      <c r="AB73" s="11">
        <v>11</v>
      </c>
      <c r="AC73" s="11">
        <v>11</v>
      </c>
      <c r="AD73" s="11">
        <v>10</v>
      </c>
      <c r="AE73" s="11">
        <v>9</v>
      </c>
      <c r="AF73" s="11">
        <v>8</v>
      </c>
      <c r="AG73" s="11">
        <v>7</v>
      </c>
      <c r="AH73" s="11">
        <v>6</v>
      </c>
      <c r="AI73" s="11">
        <v>5</v>
      </c>
      <c r="AJ73" s="11">
        <v>4</v>
      </c>
      <c r="AK73" s="11">
        <v>3</v>
      </c>
      <c r="AL73" s="11">
        <v>2</v>
      </c>
      <c r="AM73" s="11">
        <v>1</v>
      </c>
      <c r="AN73" s="11">
        <v>1</v>
      </c>
    </row>
    <row r="74" spans="1:40" hidden="1" outlineLevel="1" x14ac:dyDescent="0.2">
      <c r="A74" s="11" t="s">
        <v>12</v>
      </c>
      <c r="B74" s="17">
        <v>7.6437168993740974</v>
      </c>
      <c r="C74" s="11" t="s">
        <v>31</v>
      </c>
      <c r="D74" s="17">
        <v>7.4317209743889698</v>
      </c>
      <c r="Q74" s="16" t="s">
        <v>20</v>
      </c>
      <c r="R74" s="18">
        <f>R70</f>
        <v>4</v>
      </c>
      <c r="S74" s="18">
        <f t="shared" ref="S74:AN74" si="16">S70</f>
        <v>4</v>
      </c>
      <c r="T74" s="18">
        <f t="shared" si="16"/>
        <v>2</v>
      </c>
      <c r="U74" s="18">
        <f t="shared" si="16"/>
        <v>-3</v>
      </c>
      <c r="V74" s="18">
        <f t="shared" si="16"/>
        <v>-3</v>
      </c>
      <c r="W74" s="18">
        <f t="shared" si="16"/>
        <v>-3</v>
      </c>
      <c r="X74" s="18">
        <f t="shared" si="16"/>
        <v>-3</v>
      </c>
      <c r="Y74" s="18">
        <f t="shared" si="16"/>
        <v>-3</v>
      </c>
      <c r="Z74" s="18">
        <f t="shared" si="16"/>
        <v>-3</v>
      </c>
      <c r="AA74" s="18">
        <f t="shared" si="16"/>
        <v>-3</v>
      </c>
      <c r="AB74" s="18">
        <f t="shared" si="16"/>
        <v>-3</v>
      </c>
      <c r="AC74" s="18">
        <f t="shared" si="16"/>
        <v>-3</v>
      </c>
      <c r="AD74" s="18">
        <f t="shared" si="16"/>
        <v>-3</v>
      </c>
      <c r="AE74" s="18">
        <f t="shared" si="16"/>
        <v>-3</v>
      </c>
      <c r="AF74" s="18">
        <f t="shared" si="16"/>
        <v>-3</v>
      </c>
      <c r="AG74" s="18">
        <f t="shared" si="16"/>
        <v>-3</v>
      </c>
      <c r="AH74" s="18">
        <f t="shared" si="16"/>
        <v>-3</v>
      </c>
      <c r="AI74" s="18">
        <f t="shared" si="16"/>
        <v>-3</v>
      </c>
      <c r="AJ74" s="18">
        <f t="shared" si="16"/>
        <v>-6</v>
      </c>
      <c r="AK74" s="18">
        <f t="shared" si="16"/>
        <v>-5.5</v>
      </c>
      <c r="AL74" s="18">
        <f t="shared" si="16"/>
        <v>-6</v>
      </c>
      <c r="AM74" s="18">
        <f t="shared" si="16"/>
        <v>-8</v>
      </c>
      <c r="AN74" s="18">
        <f t="shared" si="16"/>
        <v>4</v>
      </c>
    </row>
    <row r="75" spans="1:40" hidden="1" outlineLevel="1" x14ac:dyDescent="0.2">
      <c r="A75" s="11" t="s">
        <v>13</v>
      </c>
      <c r="B75" s="17">
        <v>-1.5043331728454499</v>
      </c>
      <c r="C75" s="11" t="s">
        <v>17</v>
      </c>
      <c r="D75" s="17">
        <v>0.71229508196721314</v>
      </c>
      <c r="F75" s="1"/>
      <c r="G75" s="1"/>
      <c r="H75" s="1"/>
      <c r="I75" s="1"/>
      <c r="J75" s="1"/>
      <c r="K75" s="1"/>
      <c r="L75" s="1"/>
      <c r="M75" s="1"/>
      <c r="Q75" s="9" t="s">
        <v>21</v>
      </c>
      <c r="R75" s="18">
        <f>-R71</f>
        <v>-1</v>
      </c>
      <c r="S75" s="18">
        <f t="shared" ref="S75:AN75" si="17">-S71</f>
        <v>-4</v>
      </c>
      <c r="T75" s="18">
        <f t="shared" si="17"/>
        <v>-27.5</v>
      </c>
      <c r="U75" s="18">
        <f t="shared" si="17"/>
        <v>-31.5</v>
      </c>
      <c r="V75" s="18">
        <f t="shared" si="17"/>
        <v>-31.5</v>
      </c>
      <c r="W75" s="18">
        <f t="shared" si="17"/>
        <v>-31.5</v>
      </c>
      <c r="X75" s="18">
        <f t="shared" si="17"/>
        <v>-31.5</v>
      </c>
      <c r="Y75" s="18">
        <f t="shared" si="17"/>
        <v>-31.5</v>
      </c>
      <c r="Z75" s="18">
        <f t="shared" si="17"/>
        <v>-31.5</v>
      </c>
      <c r="AA75" s="18">
        <f t="shared" si="17"/>
        <v>-31.5</v>
      </c>
      <c r="AB75" s="18">
        <f t="shared" si="17"/>
        <v>-31.5</v>
      </c>
      <c r="AC75" s="18">
        <f t="shared" si="17"/>
        <v>-31.5</v>
      </c>
      <c r="AD75" s="18">
        <f t="shared" si="17"/>
        <v>-31.5</v>
      </c>
      <c r="AE75" s="18">
        <f t="shared" si="17"/>
        <v>-31.5</v>
      </c>
      <c r="AF75" s="18">
        <f t="shared" si="17"/>
        <v>-31.5</v>
      </c>
      <c r="AG75" s="18">
        <f t="shared" si="17"/>
        <v>-31.5</v>
      </c>
      <c r="AH75" s="18">
        <f t="shared" si="17"/>
        <v>-31.5</v>
      </c>
      <c r="AI75" s="18">
        <f t="shared" si="17"/>
        <v>-31.5</v>
      </c>
      <c r="AJ75" s="18">
        <f t="shared" si="17"/>
        <v>-31.5</v>
      </c>
      <c r="AK75" s="18">
        <f t="shared" si="17"/>
        <v>-27.5</v>
      </c>
      <c r="AL75" s="18">
        <f t="shared" si="17"/>
        <v>-4</v>
      </c>
      <c r="AM75" s="18">
        <f t="shared" si="17"/>
        <v>-1</v>
      </c>
      <c r="AN75" s="18">
        <f t="shared" si="17"/>
        <v>-1</v>
      </c>
    </row>
    <row r="76" spans="1:40" ht="14.25" hidden="1" outlineLevel="1" x14ac:dyDescent="0.2">
      <c r="A76" s="11" t="s">
        <v>14</v>
      </c>
      <c r="B76" s="17">
        <v>14.70598619804205</v>
      </c>
      <c r="C76" s="11" t="s">
        <v>32</v>
      </c>
      <c r="D76" s="17">
        <v>4.8413190890770226</v>
      </c>
      <c r="F76" s="1"/>
      <c r="G76" s="1"/>
      <c r="H76" s="1"/>
      <c r="I76" s="1"/>
      <c r="J76" s="1"/>
      <c r="K76" s="1"/>
      <c r="L76" s="1"/>
      <c r="M76" s="1"/>
    </row>
    <row r="77" spans="1:40" hidden="1" outlineLevel="1" x14ac:dyDescent="0.2">
      <c r="A77" s="11" t="s">
        <v>15</v>
      </c>
      <c r="B77" s="17">
        <v>8.8298828438452883</v>
      </c>
      <c r="F77" s="1"/>
      <c r="G77" s="1"/>
      <c r="H77" s="1"/>
      <c r="I77" s="1"/>
      <c r="J77" s="1"/>
      <c r="K77" s="1"/>
      <c r="L77" s="1"/>
      <c r="M77" s="1"/>
    </row>
    <row r="78" spans="1:40" hidden="1" outlineLevel="1" x14ac:dyDescent="0.2"/>
    <row r="79" spans="1:40" collapsed="1" x14ac:dyDescent="0.2"/>
  </sheetData>
  <sheetProtection algorithmName="SHA-512" hashValue="H+QR1BOLLGXDIDAoJAKRBPp+opWTQxfRdC4a/Izec+mFlJNqaLzshBYFeOzHe51D53vERLcbxzqPG+7WBEktUg==" saltValue="6u5xHjq0/hEn1UlNiWIBNw==" spinCount="100000" sheet="1" objects="1" scenarios="1" formatCells="0"/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Spinner 15">
              <controlPr defaultSize="0" autoPict="0" macro="[0]!spinner1">
                <anchor moveWithCells="1" sizeWithCells="1">
                  <from>
                    <xdr:col>4</xdr:col>
                    <xdr:colOff>0</xdr:colOff>
                    <xdr:row>2</xdr:row>
                    <xdr:rowOff>152400</xdr:rowOff>
                  </from>
                  <to>
                    <xdr:col>4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hart1default">
                <anchor moveWithCells="1" siz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247650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chart1scale">
                <anchor moveWithCells="1" sizeWithCells="1">
                  <from>
                    <xdr:col>6</xdr:col>
                    <xdr:colOff>323850</xdr:colOff>
                    <xdr:row>23</xdr:row>
                    <xdr:rowOff>9525</xdr:rowOff>
                  </from>
                  <to>
                    <xdr:col>7</xdr:col>
                    <xdr:colOff>495300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Spinner 24">
              <controlPr defaultSize="0" autoPict="0" macro="[0]!spinner2">
                <anchor moveWithCells="1" sizeWithCells="1">
                  <from>
                    <xdr:col>4</xdr:col>
                    <xdr:colOff>0</xdr:colOff>
                    <xdr:row>28</xdr:row>
                    <xdr:rowOff>152400</xdr:rowOff>
                  </from>
                  <to>
                    <xdr:col>4</xdr:col>
                    <xdr:colOff>152400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chart23default">
                <anchor moveWithCells="1" sizeWithCells="1">
                  <from>
                    <xdr:col>5</xdr:col>
                    <xdr:colOff>76200</xdr:colOff>
                    <xdr:row>49</xdr:row>
                    <xdr:rowOff>9525</xdr:rowOff>
                  </from>
                  <to>
                    <xdr:col>6</xdr:col>
                    <xdr:colOff>247650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chart23scale">
                <anchor moveWithCells="1" sizeWithCells="1">
                  <from>
                    <xdr:col>6</xdr:col>
                    <xdr:colOff>323850</xdr:colOff>
                    <xdr:row>49</xdr:row>
                    <xdr:rowOff>9525</xdr:rowOff>
                  </from>
                  <to>
                    <xdr:col>7</xdr:col>
                    <xdr:colOff>495300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Spinner 29">
              <controlPr defaultSize="0" autoPict="0" macro="[0]!spinner3">
                <anchor moveWithCells="1" sizeWithCells="1">
                  <from>
                    <xdr:col>4</xdr:col>
                    <xdr:colOff>0</xdr:colOff>
                    <xdr:row>54</xdr:row>
                    <xdr:rowOff>152400</xdr:rowOff>
                  </from>
                  <to>
                    <xdr:col>4</xdr:col>
                    <xdr:colOff>152400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chart28default">
                <anchor moveWithCells="1" sizeWithCells="1">
                  <from>
                    <xdr:col>5</xdr:col>
                    <xdr:colOff>76200</xdr:colOff>
                    <xdr:row>75</xdr:row>
                    <xdr:rowOff>9525</xdr:rowOff>
                  </from>
                  <to>
                    <xdr:col>6</xdr:col>
                    <xdr:colOff>247650</xdr:colOff>
                    <xdr:row>77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2" name="Button 32">
              <controlPr defaultSize="0" print="0" autoFill="0" autoPict="0" macro="[0]!chart28scale">
                <anchor moveWithCells="1" sizeWithCells="1">
                  <from>
                    <xdr:col>6</xdr:col>
                    <xdr:colOff>323850</xdr:colOff>
                    <xdr:row>75</xdr:row>
                    <xdr:rowOff>9525</xdr:rowOff>
                  </from>
                  <to>
                    <xdr:col>7</xdr:col>
                    <xdr:colOff>495300</xdr:colOff>
                    <xdr:row>77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N53"/>
  <sheetViews>
    <sheetView showGridLines="0" workbookViewId="0">
      <selection activeCell="C5" sqref="C5"/>
    </sheetView>
  </sheetViews>
  <sheetFormatPr defaultRowHeight="12.75" outlineLevelRow="1" x14ac:dyDescent="0.2"/>
  <cols>
    <col min="1" max="5" width="12.7109375" customWidth="1"/>
  </cols>
  <sheetData>
    <row r="1" spans="1:40" ht="15" x14ac:dyDescent="0.25">
      <c r="A1" s="2" t="s">
        <v>34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</row>
    <row r="2" spans="1:40" outlineLevel="1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4" t="s">
        <v>23</v>
      </c>
      <c r="R2" s="5"/>
      <c r="S2" s="5"/>
      <c r="T2" s="4" t="s">
        <v>24</v>
      </c>
      <c r="U2" s="3"/>
      <c r="V2" s="3"/>
      <c r="W2" s="6"/>
      <c r="X2" s="6" t="s">
        <v>33</v>
      </c>
      <c r="Y2" s="6"/>
      <c r="Z2" s="6"/>
      <c r="AA2" s="6"/>
      <c r="AB2" s="6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outlineLevel="1" x14ac:dyDescent="0.2">
      <c r="A3" s="7" t="s">
        <v>8</v>
      </c>
      <c r="B3" s="3"/>
      <c r="C3" s="3"/>
      <c r="D3" s="3"/>
      <c r="E3" s="8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9" t="s">
        <v>22</v>
      </c>
      <c r="R3" s="9" t="s">
        <v>20</v>
      </c>
      <c r="S3" s="9" t="s">
        <v>21</v>
      </c>
      <c r="T3" s="9" t="s">
        <v>22</v>
      </c>
      <c r="U3" s="9" t="s">
        <v>20</v>
      </c>
      <c r="V3" s="9" t="s">
        <v>21</v>
      </c>
      <c r="W3" s="10"/>
      <c r="X3" s="9" t="s">
        <v>22</v>
      </c>
      <c r="Y3" s="9" t="s">
        <v>20</v>
      </c>
      <c r="Z3" s="9" t="s">
        <v>21</v>
      </c>
      <c r="AA3" s="10"/>
      <c r="AB3" s="10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</row>
    <row r="4" spans="1:40" outlineLevel="1" x14ac:dyDescent="0.2">
      <c r="A4" s="11" t="s">
        <v>1</v>
      </c>
      <c r="B4" s="11" t="s">
        <v>2</v>
      </c>
      <c r="C4" s="11" t="s">
        <v>25</v>
      </c>
      <c r="D4" s="15" t="s">
        <v>29</v>
      </c>
      <c r="E4" s="9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11">
        <v>1</v>
      </c>
      <c r="R4" s="18">
        <f>C5</f>
        <v>-72</v>
      </c>
      <c r="S4" s="18">
        <f>B5</f>
        <v>0</v>
      </c>
      <c r="T4" s="11">
        <v>1</v>
      </c>
      <c r="U4" s="18">
        <f>C5-A5</f>
        <v>-80.5</v>
      </c>
      <c r="V4" s="18">
        <f>S4</f>
        <v>0</v>
      </c>
      <c r="W4" s="6"/>
      <c r="X4" s="11">
        <v>1</v>
      </c>
      <c r="Y4" s="18">
        <f>B24</f>
        <v>10.875</v>
      </c>
      <c r="Z4" s="18">
        <f>B23+0.5*B25</f>
        <v>-72</v>
      </c>
      <c r="AA4" s="6"/>
      <c r="AB4" s="6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</row>
    <row r="5" spans="1:40" outlineLevel="1" x14ac:dyDescent="0.2">
      <c r="A5" s="12">
        <v>8.5</v>
      </c>
      <c r="B5" s="12">
        <v>0</v>
      </c>
      <c r="C5" s="12">
        <v>-72</v>
      </c>
      <c r="D5" s="12"/>
      <c r="E5" s="12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11">
        <v>2</v>
      </c>
      <c r="R5" s="18">
        <f>R4-D8</f>
        <v>-72</v>
      </c>
      <c r="S5" s="18">
        <f t="shared" ref="S5:S14" si="0">S4+C8</f>
        <v>21.75</v>
      </c>
      <c r="T5" s="11">
        <v>2</v>
      </c>
      <c r="U5" s="18">
        <f>R5-B8</f>
        <v>-80.5</v>
      </c>
      <c r="V5" s="18">
        <f t="shared" ref="V5:V14" si="1">S5</f>
        <v>21.75</v>
      </c>
      <c r="W5" s="6"/>
      <c r="X5" s="11">
        <v>2</v>
      </c>
      <c r="Y5" s="18">
        <f>B24</f>
        <v>10.875</v>
      </c>
      <c r="Z5" s="18">
        <f>D20</f>
        <v>-74.125</v>
      </c>
      <c r="AA5" s="6"/>
      <c r="AB5" s="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</row>
    <row r="6" spans="1:40" outlineLevel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11">
        <v>3</v>
      </c>
      <c r="R6" s="18">
        <f t="shared" ref="R6:R14" si="2">R5-D9</f>
        <v>-72</v>
      </c>
      <c r="S6" s="18">
        <f t="shared" si="0"/>
        <v>21.75</v>
      </c>
      <c r="T6" s="11">
        <v>3</v>
      </c>
      <c r="U6" s="18">
        <f t="shared" ref="U6:U14" si="3">R6-B9</f>
        <v>-72</v>
      </c>
      <c r="V6" s="18">
        <f t="shared" si="1"/>
        <v>21.75</v>
      </c>
      <c r="W6" s="6"/>
      <c r="X6" s="11">
        <v>3</v>
      </c>
      <c r="Y6" s="18">
        <f>B24</f>
        <v>10.875</v>
      </c>
      <c r="Z6" s="18">
        <f>B23-0.5*B25</f>
        <v>-80.5</v>
      </c>
      <c r="AA6" s="6"/>
      <c r="AB6" s="6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</row>
    <row r="7" spans="1:40" outlineLevel="1" x14ac:dyDescent="0.2">
      <c r="A7" s="13" t="s">
        <v>3</v>
      </c>
      <c r="B7" s="13" t="s">
        <v>4</v>
      </c>
      <c r="C7" s="13" t="s">
        <v>5</v>
      </c>
      <c r="D7" s="13" t="s">
        <v>6</v>
      </c>
      <c r="E7" s="20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11">
        <v>4</v>
      </c>
      <c r="R7" s="18">
        <f t="shared" si="2"/>
        <v>-72</v>
      </c>
      <c r="S7" s="18">
        <f t="shared" si="0"/>
        <v>21.75</v>
      </c>
      <c r="T7" s="11">
        <v>4</v>
      </c>
      <c r="U7" s="18">
        <f t="shared" si="3"/>
        <v>-72</v>
      </c>
      <c r="V7" s="18">
        <f t="shared" si="1"/>
        <v>21.75</v>
      </c>
      <c r="W7" s="6"/>
      <c r="X7" s="6"/>
      <c r="Y7" s="6"/>
      <c r="Z7" s="6"/>
      <c r="AA7" s="6"/>
      <c r="AB7" s="6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outlineLevel="1" x14ac:dyDescent="0.2">
      <c r="A8" s="11">
        <v>1</v>
      </c>
      <c r="B8" s="12">
        <v>8.5</v>
      </c>
      <c r="C8" s="12">
        <v>21.75</v>
      </c>
      <c r="D8" s="12">
        <v>0</v>
      </c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11">
        <v>5</v>
      </c>
      <c r="R8" s="18">
        <f t="shared" si="2"/>
        <v>-72</v>
      </c>
      <c r="S8" s="18">
        <f t="shared" si="0"/>
        <v>21.75</v>
      </c>
      <c r="T8" s="11">
        <v>5</v>
      </c>
      <c r="U8" s="18">
        <f t="shared" si="3"/>
        <v>-72</v>
      </c>
      <c r="V8" s="18">
        <f t="shared" si="1"/>
        <v>21.75</v>
      </c>
      <c r="W8" s="6"/>
      <c r="X8" s="6"/>
      <c r="Y8" s="6"/>
      <c r="Z8" s="6"/>
      <c r="AA8" s="6"/>
      <c r="AB8" s="6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40" outlineLevel="1" x14ac:dyDescent="0.2">
      <c r="A9" s="15"/>
      <c r="B9" s="15"/>
      <c r="C9" s="15"/>
      <c r="D9" s="15"/>
      <c r="E9" s="1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11">
        <v>6</v>
      </c>
      <c r="R9" s="18">
        <f t="shared" si="2"/>
        <v>-72</v>
      </c>
      <c r="S9" s="18">
        <f t="shared" si="0"/>
        <v>21.75</v>
      </c>
      <c r="T9" s="11">
        <v>6</v>
      </c>
      <c r="U9" s="18">
        <f t="shared" si="3"/>
        <v>-72</v>
      </c>
      <c r="V9" s="18">
        <f t="shared" si="1"/>
        <v>21.75</v>
      </c>
      <c r="W9" s="6"/>
      <c r="X9" s="6"/>
      <c r="Y9" s="6"/>
      <c r="Z9" s="6"/>
      <c r="AA9" s="6"/>
      <c r="AB9" s="6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</row>
    <row r="10" spans="1:40" outlineLevel="1" x14ac:dyDescent="0.2">
      <c r="A10" s="15"/>
      <c r="B10" s="15"/>
      <c r="C10" s="15"/>
      <c r="D10" s="15"/>
      <c r="E10" s="1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11">
        <v>7</v>
      </c>
      <c r="R10" s="18">
        <f t="shared" si="2"/>
        <v>-72</v>
      </c>
      <c r="S10" s="18">
        <f t="shared" si="0"/>
        <v>21.75</v>
      </c>
      <c r="T10" s="11">
        <v>7</v>
      </c>
      <c r="U10" s="18">
        <f t="shared" si="3"/>
        <v>-72</v>
      </c>
      <c r="V10" s="18">
        <f t="shared" si="1"/>
        <v>21.75</v>
      </c>
      <c r="W10" s="6"/>
      <c r="X10" s="6"/>
      <c r="Y10" s="6"/>
      <c r="Z10" s="6"/>
      <c r="AA10" s="6"/>
      <c r="AB10" s="6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</row>
    <row r="11" spans="1:40" outlineLevel="1" x14ac:dyDescent="0.2">
      <c r="A11" s="15"/>
      <c r="B11" s="15"/>
      <c r="C11" s="15"/>
      <c r="D11" s="15"/>
      <c r="E11" s="1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11">
        <v>8</v>
      </c>
      <c r="R11" s="18">
        <f t="shared" si="2"/>
        <v>-72</v>
      </c>
      <c r="S11" s="18">
        <f t="shared" si="0"/>
        <v>21.75</v>
      </c>
      <c r="T11" s="11">
        <v>8</v>
      </c>
      <c r="U11" s="18">
        <f t="shared" si="3"/>
        <v>-72</v>
      </c>
      <c r="V11" s="18">
        <f t="shared" si="1"/>
        <v>21.75</v>
      </c>
      <c r="W11" s="6"/>
      <c r="X11" s="6"/>
      <c r="Y11" s="6"/>
      <c r="Z11" s="6"/>
      <c r="AA11" s="6"/>
      <c r="AB11" s="6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</row>
    <row r="12" spans="1:40" outlineLevel="1" x14ac:dyDescent="0.2">
      <c r="A12" s="15"/>
      <c r="B12" s="15"/>
      <c r="C12" s="15"/>
      <c r="D12" s="15"/>
      <c r="E12" s="1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11">
        <v>9</v>
      </c>
      <c r="R12" s="18">
        <f t="shared" si="2"/>
        <v>-72</v>
      </c>
      <c r="S12" s="18">
        <f t="shared" si="0"/>
        <v>21.75</v>
      </c>
      <c r="T12" s="11">
        <v>9</v>
      </c>
      <c r="U12" s="18">
        <f t="shared" si="3"/>
        <v>-72</v>
      </c>
      <c r="V12" s="18">
        <f t="shared" si="1"/>
        <v>21.75</v>
      </c>
      <c r="W12" s="6"/>
      <c r="X12" s="6"/>
      <c r="Y12" s="6"/>
      <c r="Z12" s="6"/>
      <c r="AA12" s="6"/>
      <c r="AB12" s="6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</row>
    <row r="13" spans="1:40" outlineLevel="1" x14ac:dyDescent="0.2">
      <c r="A13" s="15"/>
      <c r="B13" s="15"/>
      <c r="C13" s="15"/>
      <c r="D13" s="15"/>
      <c r="E13" s="1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11">
        <v>10</v>
      </c>
      <c r="R13" s="18">
        <f t="shared" si="2"/>
        <v>-72</v>
      </c>
      <c r="S13" s="18">
        <f t="shared" si="0"/>
        <v>21.75</v>
      </c>
      <c r="T13" s="11">
        <v>10</v>
      </c>
      <c r="U13" s="18">
        <f t="shared" si="3"/>
        <v>-72</v>
      </c>
      <c r="V13" s="18">
        <f t="shared" si="1"/>
        <v>21.75</v>
      </c>
      <c r="W13" s="6"/>
      <c r="X13" s="6"/>
      <c r="Y13" s="6"/>
      <c r="Z13" s="6"/>
      <c r="AA13" s="6"/>
      <c r="AB13" s="6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</row>
    <row r="14" spans="1:40" outlineLevel="1" x14ac:dyDescent="0.2">
      <c r="A14" s="15"/>
      <c r="B14" s="15"/>
      <c r="C14" s="15"/>
      <c r="D14" s="15"/>
      <c r="E14" s="1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11">
        <v>11</v>
      </c>
      <c r="R14" s="18">
        <f t="shared" si="2"/>
        <v>-72</v>
      </c>
      <c r="S14" s="18">
        <f t="shared" si="0"/>
        <v>21.75</v>
      </c>
      <c r="T14" s="11">
        <v>11</v>
      </c>
      <c r="U14" s="18">
        <f t="shared" si="3"/>
        <v>-72</v>
      </c>
      <c r="V14" s="18">
        <f t="shared" si="1"/>
        <v>21.75</v>
      </c>
      <c r="W14" s="6"/>
      <c r="X14" s="6"/>
      <c r="Y14" s="6"/>
      <c r="Z14" s="6"/>
      <c r="AA14" s="6"/>
      <c r="AB14" s="6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0" outlineLevel="1" x14ac:dyDescent="0.2">
      <c r="A15" s="15"/>
      <c r="B15" s="15"/>
      <c r="C15" s="15"/>
      <c r="D15" s="15"/>
      <c r="E15" s="1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0" outlineLevel="1" x14ac:dyDescent="0.2">
      <c r="A16" s="15"/>
      <c r="B16" s="15"/>
      <c r="C16" s="15"/>
      <c r="D16" s="15"/>
      <c r="E16" s="1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 t="s">
        <v>36</v>
      </c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1:40" outlineLevel="1" x14ac:dyDescent="0.2">
      <c r="A17" s="15"/>
      <c r="B17" s="15"/>
      <c r="C17" s="15"/>
      <c r="D17" s="15"/>
      <c r="E17" s="1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9" t="s">
        <v>22</v>
      </c>
      <c r="R17" s="11">
        <v>1</v>
      </c>
      <c r="S17" s="11">
        <v>2</v>
      </c>
      <c r="T17" s="11">
        <v>3</v>
      </c>
      <c r="U17" s="11">
        <v>4</v>
      </c>
      <c r="V17" s="11">
        <v>5</v>
      </c>
      <c r="W17" s="11">
        <v>6</v>
      </c>
      <c r="X17" s="11">
        <v>7</v>
      </c>
      <c r="Y17" s="11">
        <v>8</v>
      </c>
      <c r="Z17" s="11">
        <v>9</v>
      </c>
      <c r="AA17" s="11">
        <v>10</v>
      </c>
      <c r="AB17" s="11">
        <v>11</v>
      </c>
      <c r="AC17" s="11">
        <v>11</v>
      </c>
      <c r="AD17" s="11">
        <v>10</v>
      </c>
      <c r="AE17" s="11">
        <v>9</v>
      </c>
      <c r="AF17" s="11">
        <v>8</v>
      </c>
      <c r="AG17" s="11">
        <v>7</v>
      </c>
      <c r="AH17" s="11">
        <v>6</v>
      </c>
      <c r="AI17" s="11">
        <v>5</v>
      </c>
      <c r="AJ17" s="11">
        <v>4</v>
      </c>
      <c r="AK17" s="11">
        <v>3</v>
      </c>
      <c r="AL17" s="11">
        <v>2</v>
      </c>
      <c r="AM17" s="11">
        <v>1</v>
      </c>
      <c r="AN17" s="11">
        <v>1</v>
      </c>
    </row>
    <row r="18" spans="1:40" outlineLevel="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16" t="s">
        <v>20</v>
      </c>
      <c r="R18" s="18">
        <f>R4</f>
        <v>-72</v>
      </c>
      <c r="S18" s="18">
        <f>R5</f>
        <v>-72</v>
      </c>
      <c r="T18" s="18">
        <f>R6</f>
        <v>-72</v>
      </c>
      <c r="U18" s="18">
        <f>R7</f>
        <v>-72</v>
      </c>
      <c r="V18" s="18">
        <f>R8</f>
        <v>-72</v>
      </c>
      <c r="W18" s="18">
        <f>R9</f>
        <v>-72</v>
      </c>
      <c r="X18" s="18">
        <f>R10</f>
        <v>-72</v>
      </c>
      <c r="Y18" s="18">
        <f>R11</f>
        <v>-72</v>
      </c>
      <c r="Z18" s="18">
        <f>R12</f>
        <v>-72</v>
      </c>
      <c r="AA18" s="18">
        <f>R13</f>
        <v>-72</v>
      </c>
      <c r="AB18" s="18">
        <f>R14</f>
        <v>-72</v>
      </c>
      <c r="AC18" s="18">
        <f>U14</f>
        <v>-72</v>
      </c>
      <c r="AD18" s="18">
        <f>U13</f>
        <v>-72</v>
      </c>
      <c r="AE18" s="18">
        <f>U12</f>
        <v>-72</v>
      </c>
      <c r="AF18" s="18">
        <f>U11</f>
        <v>-72</v>
      </c>
      <c r="AG18" s="18">
        <f>U10</f>
        <v>-72</v>
      </c>
      <c r="AH18" s="18">
        <f>U9</f>
        <v>-72</v>
      </c>
      <c r="AI18" s="18">
        <f>U8</f>
        <v>-72</v>
      </c>
      <c r="AJ18" s="18">
        <f>U7</f>
        <v>-72</v>
      </c>
      <c r="AK18" s="18">
        <f>U6</f>
        <v>-72</v>
      </c>
      <c r="AL18" s="18">
        <f>U5</f>
        <v>-80.5</v>
      </c>
      <c r="AM18" s="18">
        <f>U4</f>
        <v>-80.5</v>
      </c>
      <c r="AN18" s="18">
        <f>R4</f>
        <v>-72</v>
      </c>
    </row>
    <row r="19" spans="1:40" outlineLevel="1" x14ac:dyDescent="0.2">
      <c r="A19" s="7" t="s">
        <v>9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9" t="s">
        <v>21</v>
      </c>
      <c r="R19" s="18">
        <f>S4</f>
        <v>0</v>
      </c>
      <c r="S19" s="18">
        <f>S5</f>
        <v>21.75</v>
      </c>
      <c r="T19" s="18">
        <f>S6</f>
        <v>21.75</v>
      </c>
      <c r="U19" s="18">
        <f>S7</f>
        <v>21.75</v>
      </c>
      <c r="V19" s="18">
        <f>S8</f>
        <v>21.75</v>
      </c>
      <c r="W19" s="18">
        <f>S9</f>
        <v>21.75</v>
      </c>
      <c r="X19" s="18">
        <f>S10</f>
        <v>21.75</v>
      </c>
      <c r="Y19" s="18">
        <f>S11</f>
        <v>21.75</v>
      </c>
      <c r="Z19" s="18">
        <f>S12</f>
        <v>21.75</v>
      </c>
      <c r="AA19" s="18">
        <f>S13</f>
        <v>21.75</v>
      </c>
      <c r="AB19" s="18">
        <f>S14</f>
        <v>21.75</v>
      </c>
      <c r="AC19" s="18">
        <f>V14</f>
        <v>21.75</v>
      </c>
      <c r="AD19" s="18">
        <f>V13</f>
        <v>21.75</v>
      </c>
      <c r="AE19" s="18">
        <f>V12</f>
        <v>21.75</v>
      </c>
      <c r="AF19" s="18">
        <f>V11</f>
        <v>21.75</v>
      </c>
      <c r="AG19" s="18">
        <f>V10</f>
        <v>21.75</v>
      </c>
      <c r="AH19" s="18">
        <f>V9</f>
        <v>21.75</v>
      </c>
      <c r="AI19" s="18">
        <f>V8</f>
        <v>21.75</v>
      </c>
      <c r="AJ19" s="18">
        <f>V7</f>
        <v>21.75</v>
      </c>
      <c r="AK19" s="18">
        <f>V6</f>
        <v>21.75</v>
      </c>
      <c r="AL19" s="18">
        <f>V5</f>
        <v>21.75</v>
      </c>
      <c r="AM19" s="18">
        <f>V4</f>
        <v>0</v>
      </c>
      <c r="AN19" s="18">
        <f>S4</f>
        <v>0</v>
      </c>
    </row>
    <row r="20" spans="1:40" outlineLevel="1" x14ac:dyDescent="0.2">
      <c r="A20" s="11" t="s">
        <v>10</v>
      </c>
      <c r="B20" s="17">
        <v>43.5</v>
      </c>
      <c r="C20" s="11" t="s">
        <v>16</v>
      </c>
      <c r="D20" s="17">
        <v>-74.125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 t="s">
        <v>37</v>
      </c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</row>
    <row r="21" spans="1:40" outlineLevel="1" x14ac:dyDescent="0.2">
      <c r="A21" s="11" t="s">
        <v>11</v>
      </c>
      <c r="B21" s="17">
        <v>369.75</v>
      </c>
      <c r="C21" s="11" t="s">
        <v>30</v>
      </c>
      <c r="D21" s="17">
        <v>0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9" t="s">
        <v>22</v>
      </c>
      <c r="R21" s="11">
        <v>1</v>
      </c>
      <c r="S21" s="11">
        <v>2</v>
      </c>
      <c r="T21" s="11">
        <v>3</v>
      </c>
      <c r="U21" s="11">
        <v>4</v>
      </c>
      <c r="V21" s="11">
        <v>5</v>
      </c>
      <c r="W21" s="11">
        <v>6</v>
      </c>
      <c r="X21" s="11">
        <v>7</v>
      </c>
      <c r="Y21" s="11">
        <v>8</v>
      </c>
      <c r="Z21" s="11">
        <v>9</v>
      </c>
      <c r="AA21" s="11">
        <v>10</v>
      </c>
      <c r="AB21" s="11">
        <v>11</v>
      </c>
      <c r="AC21" s="11">
        <v>11</v>
      </c>
      <c r="AD21" s="11">
        <v>10</v>
      </c>
      <c r="AE21" s="11">
        <v>9</v>
      </c>
      <c r="AF21" s="11">
        <v>8</v>
      </c>
      <c r="AG21" s="11">
        <v>7</v>
      </c>
      <c r="AH21" s="11">
        <v>6</v>
      </c>
      <c r="AI21" s="11">
        <v>5</v>
      </c>
      <c r="AJ21" s="11">
        <v>4</v>
      </c>
      <c r="AK21" s="11">
        <v>3</v>
      </c>
      <c r="AL21" s="11">
        <v>2</v>
      </c>
      <c r="AM21" s="11">
        <v>1</v>
      </c>
      <c r="AN21" s="11">
        <v>1</v>
      </c>
    </row>
    <row r="22" spans="1:40" outlineLevel="1" x14ac:dyDescent="0.2">
      <c r="A22" s="11" t="s">
        <v>12</v>
      </c>
      <c r="B22" s="17">
        <v>5.117647058823529</v>
      </c>
      <c r="C22" s="11" t="s">
        <v>31</v>
      </c>
      <c r="D22" s="17">
        <v>0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16" t="s">
        <v>20</v>
      </c>
      <c r="R22" s="18">
        <f>R18</f>
        <v>-72</v>
      </c>
      <c r="S22" s="18">
        <f t="shared" ref="S22:AN22" si="4">S18</f>
        <v>-72</v>
      </c>
      <c r="T22" s="18">
        <f t="shared" si="4"/>
        <v>-72</v>
      </c>
      <c r="U22" s="18">
        <f t="shared" si="4"/>
        <v>-72</v>
      </c>
      <c r="V22" s="18">
        <f t="shared" si="4"/>
        <v>-72</v>
      </c>
      <c r="W22" s="18">
        <f t="shared" si="4"/>
        <v>-72</v>
      </c>
      <c r="X22" s="18">
        <f t="shared" si="4"/>
        <v>-72</v>
      </c>
      <c r="Y22" s="18">
        <f t="shared" si="4"/>
        <v>-72</v>
      </c>
      <c r="Z22" s="18">
        <f t="shared" si="4"/>
        <v>-72</v>
      </c>
      <c r="AA22" s="18">
        <f t="shared" si="4"/>
        <v>-72</v>
      </c>
      <c r="AB22" s="18">
        <f t="shared" si="4"/>
        <v>-72</v>
      </c>
      <c r="AC22" s="18">
        <f t="shared" si="4"/>
        <v>-72</v>
      </c>
      <c r="AD22" s="18">
        <f t="shared" si="4"/>
        <v>-72</v>
      </c>
      <c r="AE22" s="18">
        <f t="shared" si="4"/>
        <v>-72</v>
      </c>
      <c r="AF22" s="18">
        <f t="shared" si="4"/>
        <v>-72</v>
      </c>
      <c r="AG22" s="18">
        <f t="shared" si="4"/>
        <v>-72</v>
      </c>
      <c r="AH22" s="18">
        <f t="shared" si="4"/>
        <v>-72</v>
      </c>
      <c r="AI22" s="18">
        <f t="shared" si="4"/>
        <v>-72</v>
      </c>
      <c r="AJ22" s="18">
        <f t="shared" si="4"/>
        <v>-72</v>
      </c>
      <c r="AK22" s="18">
        <f t="shared" si="4"/>
        <v>-72</v>
      </c>
      <c r="AL22" s="18">
        <f t="shared" si="4"/>
        <v>-80.5</v>
      </c>
      <c r="AM22" s="18">
        <f t="shared" si="4"/>
        <v>-80.5</v>
      </c>
      <c r="AN22" s="18">
        <f t="shared" si="4"/>
        <v>-72</v>
      </c>
    </row>
    <row r="23" spans="1:40" outlineLevel="1" x14ac:dyDescent="0.2">
      <c r="A23" s="11" t="s">
        <v>13</v>
      </c>
      <c r="B23" s="17">
        <v>-76.25</v>
      </c>
      <c r="C23" s="11" t="s">
        <v>17</v>
      </c>
      <c r="D23" s="17">
        <v>1</v>
      </c>
      <c r="E23" s="3"/>
      <c r="P23" s="3"/>
      <c r="Q23" s="9" t="s">
        <v>21</v>
      </c>
      <c r="R23" s="18">
        <f>-R19</f>
        <v>0</v>
      </c>
      <c r="S23" s="18">
        <f t="shared" ref="S23:AN23" si="5">-S19</f>
        <v>-21.75</v>
      </c>
      <c r="T23" s="18">
        <f t="shared" si="5"/>
        <v>-21.75</v>
      </c>
      <c r="U23" s="18">
        <f t="shared" si="5"/>
        <v>-21.75</v>
      </c>
      <c r="V23" s="18">
        <f t="shared" si="5"/>
        <v>-21.75</v>
      </c>
      <c r="W23" s="18">
        <f t="shared" si="5"/>
        <v>-21.75</v>
      </c>
      <c r="X23" s="18">
        <f t="shared" si="5"/>
        <v>-21.75</v>
      </c>
      <c r="Y23" s="18">
        <f t="shared" si="5"/>
        <v>-21.75</v>
      </c>
      <c r="Z23" s="18">
        <f t="shared" si="5"/>
        <v>-21.75</v>
      </c>
      <c r="AA23" s="18">
        <f t="shared" si="5"/>
        <v>-21.75</v>
      </c>
      <c r="AB23" s="18">
        <f t="shared" si="5"/>
        <v>-21.75</v>
      </c>
      <c r="AC23" s="18">
        <f t="shared" si="5"/>
        <v>-21.75</v>
      </c>
      <c r="AD23" s="18">
        <f t="shared" si="5"/>
        <v>-21.75</v>
      </c>
      <c r="AE23" s="18">
        <f t="shared" si="5"/>
        <v>-21.75</v>
      </c>
      <c r="AF23" s="18">
        <f t="shared" si="5"/>
        <v>-21.75</v>
      </c>
      <c r="AG23" s="18">
        <f t="shared" si="5"/>
        <v>-21.75</v>
      </c>
      <c r="AH23" s="18">
        <f t="shared" si="5"/>
        <v>-21.75</v>
      </c>
      <c r="AI23" s="18">
        <f t="shared" si="5"/>
        <v>-21.75</v>
      </c>
      <c r="AJ23" s="18">
        <f t="shared" si="5"/>
        <v>-21.75</v>
      </c>
      <c r="AK23" s="18">
        <f t="shared" si="5"/>
        <v>-21.75</v>
      </c>
      <c r="AL23" s="18">
        <f t="shared" si="5"/>
        <v>-21.75</v>
      </c>
      <c r="AM23" s="18">
        <f t="shared" si="5"/>
        <v>0</v>
      </c>
      <c r="AN23" s="18">
        <f t="shared" si="5"/>
        <v>0</v>
      </c>
    </row>
    <row r="24" spans="1:40" ht="14.25" outlineLevel="1" x14ac:dyDescent="0.2">
      <c r="A24" s="11" t="s">
        <v>14</v>
      </c>
      <c r="B24" s="17">
        <v>10.875</v>
      </c>
      <c r="C24" s="11" t="s">
        <v>32</v>
      </c>
      <c r="D24" s="17">
        <v>4.2904556429602758</v>
      </c>
      <c r="E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</row>
    <row r="25" spans="1:40" outlineLevel="1" x14ac:dyDescent="0.2">
      <c r="A25" s="11" t="s">
        <v>15</v>
      </c>
      <c r="B25" s="17">
        <v>8.5</v>
      </c>
      <c r="C25" s="3"/>
      <c r="D25" s="3"/>
      <c r="E25" s="3"/>
      <c r="F25" s="19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</row>
    <row r="26" spans="1:40" outlineLevel="1" x14ac:dyDescent="0.2"/>
    <row r="27" spans="1:40" ht="15" x14ac:dyDescent="0.25">
      <c r="A27" s="2" t="s">
        <v>35</v>
      </c>
      <c r="B27" s="3"/>
      <c r="C27" s="3"/>
      <c r="D27" s="3"/>
      <c r="E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</row>
    <row r="28" spans="1:40" hidden="1" outlineLevel="1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4" t="s">
        <v>23</v>
      </c>
      <c r="R28" s="5"/>
      <c r="S28" s="5"/>
      <c r="T28" s="4" t="s">
        <v>24</v>
      </c>
      <c r="U28" s="3"/>
      <c r="V28" s="3"/>
      <c r="W28" s="6"/>
      <c r="X28" s="6" t="s">
        <v>33</v>
      </c>
      <c r="Y28" s="6"/>
      <c r="Z28" s="6"/>
      <c r="AA28" s="6"/>
      <c r="AB28" s="6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</row>
    <row r="29" spans="1:40" hidden="1" outlineLevel="1" x14ac:dyDescent="0.2">
      <c r="A29" s="7" t="s">
        <v>8</v>
      </c>
      <c r="B29" s="3"/>
      <c r="C29" s="3"/>
      <c r="D29" s="3"/>
      <c r="E29" s="8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9" t="s">
        <v>22</v>
      </c>
      <c r="R29" s="9" t="s">
        <v>20</v>
      </c>
      <c r="S29" s="9" t="s">
        <v>21</v>
      </c>
      <c r="T29" s="9" t="s">
        <v>22</v>
      </c>
      <c r="U29" s="9" t="s">
        <v>20</v>
      </c>
      <c r="V29" s="9" t="s">
        <v>21</v>
      </c>
      <c r="W29" s="10"/>
      <c r="X29" s="9" t="s">
        <v>22</v>
      </c>
      <c r="Y29" s="9" t="s">
        <v>20</v>
      </c>
      <c r="Z29" s="9" t="s">
        <v>21</v>
      </c>
      <c r="AA29" s="10"/>
      <c r="AB29" s="10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</row>
    <row r="30" spans="1:40" hidden="1" outlineLevel="1" x14ac:dyDescent="0.2">
      <c r="A30" s="11" t="s">
        <v>1</v>
      </c>
      <c r="B30" s="11" t="s">
        <v>2</v>
      </c>
      <c r="C30" s="11" t="s">
        <v>25</v>
      </c>
      <c r="D30" s="15" t="s">
        <v>29</v>
      </c>
      <c r="E30" s="9" t="s">
        <v>28</v>
      </c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11">
        <v>1</v>
      </c>
      <c r="R30" s="18">
        <f>C31</f>
        <v>15</v>
      </c>
      <c r="S30" s="18">
        <f>B31</f>
        <v>1</v>
      </c>
      <c r="T30" s="11">
        <v>1</v>
      </c>
      <c r="U30" s="18">
        <f>C31-A31</f>
        <v>10</v>
      </c>
      <c r="V30" s="18">
        <f>S30</f>
        <v>1</v>
      </c>
      <c r="W30" s="6"/>
      <c r="X30" s="11">
        <v>1</v>
      </c>
      <c r="Y30" s="18">
        <f>B50</f>
        <v>7.1484374999999973</v>
      </c>
      <c r="Z30" s="18">
        <f>B49+0.5*B51</f>
        <v>14.03125</v>
      </c>
      <c r="AA30" s="6"/>
      <c r="AB30" s="6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</row>
    <row r="31" spans="1:40" hidden="1" outlineLevel="1" x14ac:dyDescent="0.2">
      <c r="A31" s="12">
        <v>5</v>
      </c>
      <c r="B31" s="12">
        <v>1</v>
      </c>
      <c r="C31" s="12">
        <v>15</v>
      </c>
      <c r="D31" s="12">
        <v>-0.75219999999999998</v>
      </c>
      <c r="E31" s="12">
        <v>3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11">
        <v>2</v>
      </c>
      <c r="R31" s="18">
        <f>R30-D34</f>
        <v>13</v>
      </c>
      <c r="S31" s="18">
        <f t="shared" ref="S31:S40" si="6">S30+C34</f>
        <v>8.5</v>
      </c>
      <c r="T31" s="11">
        <v>2</v>
      </c>
      <c r="U31" s="18">
        <f>R31-B34</f>
        <v>10</v>
      </c>
      <c r="V31" s="18">
        <f t="shared" ref="V31:V40" si="7">S31</f>
        <v>8.5</v>
      </c>
      <c r="W31" s="6"/>
      <c r="X31" s="11">
        <v>2</v>
      </c>
      <c r="Y31" s="18">
        <f>B50</f>
        <v>7.1484374999999973</v>
      </c>
      <c r="Z31" s="18">
        <f>D46</f>
        <v>13.106770833333332</v>
      </c>
      <c r="AA31" s="6"/>
      <c r="AB31" s="6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</row>
    <row r="32" spans="1:40" hidden="1" outlineLevel="1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11">
        <v>3</v>
      </c>
      <c r="R32" s="18">
        <f t="shared" ref="R32:R40" si="8">R31-D35</f>
        <v>15</v>
      </c>
      <c r="S32" s="18">
        <f t="shared" si="6"/>
        <v>11.5</v>
      </c>
      <c r="T32" s="11">
        <v>3</v>
      </c>
      <c r="U32" s="18">
        <f t="shared" ref="U32:U40" si="9">R32-B35</f>
        <v>12.5</v>
      </c>
      <c r="V32" s="18">
        <f t="shared" si="7"/>
        <v>11.5</v>
      </c>
      <c r="W32" s="6"/>
      <c r="X32" s="11">
        <v>3</v>
      </c>
      <c r="Y32" s="18">
        <f>B50</f>
        <v>7.1484374999999973</v>
      </c>
      <c r="Z32" s="18">
        <f>B49-0.5*B51</f>
        <v>10.333333333333332</v>
      </c>
      <c r="AA32" s="6"/>
      <c r="AB32" s="6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</row>
    <row r="33" spans="1:40" hidden="1" outlineLevel="1" x14ac:dyDescent="0.2">
      <c r="A33" s="13" t="s">
        <v>3</v>
      </c>
      <c r="B33" s="14" t="s">
        <v>4</v>
      </c>
      <c r="C33" s="14" t="s">
        <v>5</v>
      </c>
      <c r="D33" s="13" t="s">
        <v>6</v>
      </c>
      <c r="E33" s="20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11">
        <v>4</v>
      </c>
      <c r="R33" s="18">
        <f t="shared" si="8"/>
        <v>13</v>
      </c>
      <c r="S33" s="18">
        <f t="shared" si="6"/>
        <v>14.5</v>
      </c>
      <c r="T33" s="11">
        <v>4</v>
      </c>
      <c r="U33" s="18">
        <f t="shared" si="9"/>
        <v>9</v>
      </c>
      <c r="V33" s="18">
        <f t="shared" si="7"/>
        <v>14.5</v>
      </c>
      <c r="W33" s="6"/>
      <c r="X33" s="6"/>
      <c r="Y33" s="6"/>
      <c r="Z33" s="6"/>
      <c r="AA33" s="6"/>
      <c r="AB33" s="6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</row>
    <row r="34" spans="1:40" hidden="1" outlineLevel="1" x14ac:dyDescent="0.2">
      <c r="A34" s="11">
        <v>1</v>
      </c>
      <c r="B34" s="12">
        <v>3</v>
      </c>
      <c r="C34" s="12">
        <v>7.5</v>
      </c>
      <c r="D34" s="12">
        <v>2</v>
      </c>
      <c r="E34" s="1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11">
        <v>5</v>
      </c>
      <c r="R34" s="18">
        <f t="shared" si="8"/>
        <v>13</v>
      </c>
      <c r="S34" s="18">
        <f t="shared" si="6"/>
        <v>14.5</v>
      </c>
      <c r="T34" s="11">
        <v>5</v>
      </c>
      <c r="U34" s="18">
        <f t="shared" si="9"/>
        <v>13</v>
      </c>
      <c r="V34" s="18">
        <f t="shared" si="7"/>
        <v>14.5</v>
      </c>
      <c r="W34" s="6"/>
      <c r="X34" s="6"/>
      <c r="Y34" s="6"/>
      <c r="Z34" s="6"/>
      <c r="AA34" s="6"/>
      <c r="AB34" s="6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</row>
    <row r="35" spans="1:40" hidden="1" outlineLevel="1" x14ac:dyDescent="0.2">
      <c r="A35" s="15">
        <v>2</v>
      </c>
      <c r="B35" s="12">
        <v>2.5</v>
      </c>
      <c r="C35" s="12">
        <v>3</v>
      </c>
      <c r="D35" s="12">
        <v>-2</v>
      </c>
      <c r="E35" s="1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11">
        <v>6</v>
      </c>
      <c r="R35" s="18">
        <f t="shared" si="8"/>
        <v>13</v>
      </c>
      <c r="S35" s="18">
        <f t="shared" si="6"/>
        <v>14.5</v>
      </c>
      <c r="T35" s="11">
        <v>6</v>
      </c>
      <c r="U35" s="18">
        <f t="shared" si="9"/>
        <v>13</v>
      </c>
      <c r="V35" s="18">
        <f t="shared" si="7"/>
        <v>14.5</v>
      </c>
      <c r="W35" s="6"/>
      <c r="X35" s="6"/>
      <c r="Y35" s="6"/>
      <c r="Z35" s="6"/>
      <c r="AA35" s="6"/>
      <c r="AB35" s="6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</row>
    <row r="36" spans="1:40" hidden="1" outlineLevel="1" x14ac:dyDescent="0.2">
      <c r="A36" s="15">
        <v>3</v>
      </c>
      <c r="B36" s="12">
        <v>4</v>
      </c>
      <c r="C36" s="12">
        <v>3</v>
      </c>
      <c r="D36" s="12">
        <v>2</v>
      </c>
      <c r="E36" s="1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11">
        <v>7</v>
      </c>
      <c r="R36" s="18">
        <f t="shared" si="8"/>
        <v>13</v>
      </c>
      <c r="S36" s="18">
        <f t="shared" si="6"/>
        <v>14.5</v>
      </c>
      <c r="T36" s="11">
        <v>7</v>
      </c>
      <c r="U36" s="18">
        <f t="shared" si="9"/>
        <v>13</v>
      </c>
      <c r="V36" s="18">
        <f t="shared" si="7"/>
        <v>14.5</v>
      </c>
      <c r="W36" s="6"/>
      <c r="X36" s="6"/>
      <c r="Y36" s="6"/>
      <c r="Z36" s="6"/>
      <c r="AA36" s="6"/>
      <c r="AB36" s="6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</row>
    <row r="37" spans="1:40" hidden="1" outlineLevel="1" x14ac:dyDescent="0.2">
      <c r="A37" s="15"/>
      <c r="B37" s="15"/>
      <c r="C37" s="15"/>
      <c r="D37" s="15"/>
      <c r="E37" s="1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11">
        <v>8</v>
      </c>
      <c r="R37" s="18">
        <f t="shared" si="8"/>
        <v>13</v>
      </c>
      <c r="S37" s="18">
        <f t="shared" si="6"/>
        <v>14.5</v>
      </c>
      <c r="T37" s="11">
        <v>8</v>
      </c>
      <c r="U37" s="18">
        <f t="shared" si="9"/>
        <v>13</v>
      </c>
      <c r="V37" s="18">
        <f t="shared" si="7"/>
        <v>14.5</v>
      </c>
      <c r="W37" s="6"/>
      <c r="X37" s="6"/>
      <c r="Y37" s="6"/>
      <c r="Z37" s="6"/>
      <c r="AA37" s="6"/>
      <c r="AB37" s="6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</row>
    <row r="38" spans="1:40" hidden="1" outlineLevel="1" x14ac:dyDescent="0.2">
      <c r="A38" s="15"/>
      <c r="B38" s="15"/>
      <c r="C38" s="15"/>
      <c r="D38" s="15"/>
      <c r="E38" s="1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11">
        <v>9</v>
      </c>
      <c r="R38" s="18">
        <f t="shared" si="8"/>
        <v>13</v>
      </c>
      <c r="S38" s="18">
        <f t="shared" si="6"/>
        <v>14.5</v>
      </c>
      <c r="T38" s="11">
        <v>9</v>
      </c>
      <c r="U38" s="18">
        <f t="shared" si="9"/>
        <v>13</v>
      </c>
      <c r="V38" s="18">
        <f t="shared" si="7"/>
        <v>14.5</v>
      </c>
      <c r="W38" s="6"/>
      <c r="X38" s="6"/>
      <c r="Y38" s="6"/>
      <c r="Z38" s="6"/>
      <c r="AA38" s="6"/>
      <c r="AB38" s="6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</row>
    <row r="39" spans="1:40" hidden="1" outlineLevel="1" x14ac:dyDescent="0.2">
      <c r="A39" s="15"/>
      <c r="B39" s="15"/>
      <c r="C39" s="15"/>
      <c r="D39" s="15"/>
      <c r="E39" s="1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11">
        <v>10</v>
      </c>
      <c r="R39" s="18">
        <f t="shared" si="8"/>
        <v>13</v>
      </c>
      <c r="S39" s="18">
        <f t="shared" si="6"/>
        <v>14.5</v>
      </c>
      <c r="T39" s="11">
        <v>10</v>
      </c>
      <c r="U39" s="18">
        <f t="shared" si="9"/>
        <v>13</v>
      </c>
      <c r="V39" s="18">
        <f t="shared" si="7"/>
        <v>14.5</v>
      </c>
      <c r="W39" s="6"/>
      <c r="X39" s="6"/>
      <c r="Y39" s="6"/>
      <c r="Z39" s="6"/>
      <c r="AA39" s="6"/>
      <c r="AB39" s="6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</row>
    <row r="40" spans="1:40" hidden="1" outlineLevel="1" x14ac:dyDescent="0.2">
      <c r="A40" s="15"/>
      <c r="B40" s="15"/>
      <c r="C40" s="15"/>
      <c r="D40" s="15"/>
      <c r="E40" s="1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11">
        <v>11</v>
      </c>
      <c r="R40" s="18">
        <f t="shared" si="8"/>
        <v>13</v>
      </c>
      <c r="S40" s="18">
        <f t="shared" si="6"/>
        <v>14.5</v>
      </c>
      <c r="T40" s="11">
        <v>11</v>
      </c>
      <c r="U40" s="18">
        <f t="shared" si="9"/>
        <v>13</v>
      </c>
      <c r="V40" s="18">
        <f t="shared" si="7"/>
        <v>14.5</v>
      </c>
      <c r="W40" s="6"/>
      <c r="X40" s="6"/>
      <c r="Y40" s="6"/>
      <c r="Z40" s="6"/>
      <c r="AA40" s="6"/>
      <c r="AB40" s="6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</row>
    <row r="41" spans="1:40" hidden="1" outlineLevel="1" x14ac:dyDescent="0.2">
      <c r="A41" s="15"/>
      <c r="B41" s="15"/>
      <c r="C41" s="15"/>
      <c r="D41" s="15"/>
      <c r="E41" s="1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</row>
    <row r="42" spans="1:40" hidden="1" outlineLevel="1" x14ac:dyDescent="0.2">
      <c r="A42" s="15"/>
      <c r="B42" s="15"/>
      <c r="C42" s="15"/>
      <c r="D42" s="15"/>
      <c r="E42" s="1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 t="s">
        <v>38</v>
      </c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</row>
    <row r="43" spans="1:40" hidden="1" outlineLevel="1" x14ac:dyDescent="0.2">
      <c r="A43" s="15"/>
      <c r="B43" s="15"/>
      <c r="C43" s="15"/>
      <c r="D43" s="15"/>
      <c r="E43" s="1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9" t="s">
        <v>22</v>
      </c>
      <c r="R43" s="11">
        <v>1</v>
      </c>
      <c r="S43" s="11">
        <v>2</v>
      </c>
      <c r="T43" s="11">
        <v>3</v>
      </c>
      <c r="U43" s="11">
        <v>4</v>
      </c>
      <c r="V43" s="11">
        <v>5</v>
      </c>
      <c r="W43" s="11">
        <v>6</v>
      </c>
      <c r="X43" s="11">
        <v>7</v>
      </c>
      <c r="Y43" s="11">
        <v>8</v>
      </c>
      <c r="Z43" s="11">
        <v>9</v>
      </c>
      <c r="AA43" s="11">
        <v>10</v>
      </c>
      <c r="AB43" s="11">
        <v>11</v>
      </c>
      <c r="AC43" s="11">
        <v>11</v>
      </c>
      <c r="AD43" s="11">
        <v>10</v>
      </c>
      <c r="AE43" s="11">
        <v>9</v>
      </c>
      <c r="AF43" s="11">
        <v>8</v>
      </c>
      <c r="AG43" s="11">
        <v>7</v>
      </c>
      <c r="AH43" s="11">
        <v>6</v>
      </c>
      <c r="AI43" s="11">
        <v>5</v>
      </c>
      <c r="AJ43" s="11">
        <v>4</v>
      </c>
      <c r="AK43" s="11">
        <v>3</v>
      </c>
      <c r="AL43" s="11">
        <v>2</v>
      </c>
      <c r="AM43" s="11">
        <v>1</v>
      </c>
      <c r="AN43" s="11">
        <v>1</v>
      </c>
    </row>
    <row r="44" spans="1:40" hidden="1" outlineLevel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16" t="s">
        <v>20</v>
      </c>
      <c r="R44" s="18">
        <f>R30</f>
        <v>15</v>
      </c>
      <c r="S44" s="18">
        <f>R31</f>
        <v>13</v>
      </c>
      <c r="T44" s="18">
        <f>R32</f>
        <v>15</v>
      </c>
      <c r="U44" s="18">
        <f>R33</f>
        <v>13</v>
      </c>
      <c r="V44" s="18">
        <f>R34</f>
        <v>13</v>
      </c>
      <c r="W44" s="18">
        <f>R35</f>
        <v>13</v>
      </c>
      <c r="X44" s="18">
        <f>R36</f>
        <v>13</v>
      </c>
      <c r="Y44" s="18">
        <f>R37</f>
        <v>13</v>
      </c>
      <c r="Z44" s="18">
        <f>R38</f>
        <v>13</v>
      </c>
      <c r="AA44" s="18">
        <f>R39</f>
        <v>13</v>
      </c>
      <c r="AB44" s="18">
        <f>R40</f>
        <v>13</v>
      </c>
      <c r="AC44" s="18">
        <f>U40</f>
        <v>13</v>
      </c>
      <c r="AD44" s="18">
        <f>U39</f>
        <v>13</v>
      </c>
      <c r="AE44" s="18">
        <f>U38</f>
        <v>13</v>
      </c>
      <c r="AF44" s="18">
        <f>U37</f>
        <v>13</v>
      </c>
      <c r="AG44" s="18">
        <f>U36</f>
        <v>13</v>
      </c>
      <c r="AH44" s="18">
        <f>U35</f>
        <v>13</v>
      </c>
      <c r="AI44" s="18">
        <f>U34</f>
        <v>13</v>
      </c>
      <c r="AJ44" s="18">
        <f>U33</f>
        <v>9</v>
      </c>
      <c r="AK44" s="18">
        <f>U32</f>
        <v>12.5</v>
      </c>
      <c r="AL44" s="18">
        <f>U31</f>
        <v>10</v>
      </c>
      <c r="AM44" s="18">
        <f>U30</f>
        <v>10</v>
      </c>
      <c r="AN44" s="18">
        <f>R30</f>
        <v>15</v>
      </c>
    </row>
    <row r="45" spans="1:40" hidden="1" outlineLevel="1" x14ac:dyDescent="0.2">
      <c r="A45" s="7" t="s">
        <v>9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9" t="s">
        <v>21</v>
      </c>
      <c r="R45" s="18">
        <f>S30</f>
        <v>1</v>
      </c>
      <c r="S45" s="18">
        <f>S31</f>
        <v>8.5</v>
      </c>
      <c r="T45" s="18">
        <f>S32</f>
        <v>11.5</v>
      </c>
      <c r="U45" s="18">
        <f>S33</f>
        <v>14.5</v>
      </c>
      <c r="V45" s="18">
        <f>S34</f>
        <v>14.5</v>
      </c>
      <c r="W45" s="18">
        <f>S35</f>
        <v>14.5</v>
      </c>
      <c r="X45" s="18">
        <f>S36</f>
        <v>14.5</v>
      </c>
      <c r="Y45" s="18">
        <f>S37</f>
        <v>14.5</v>
      </c>
      <c r="Z45" s="18">
        <f>S38</f>
        <v>14.5</v>
      </c>
      <c r="AA45" s="18">
        <f>S39</f>
        <v>14.5</v>
      </c>
      <c r="AB45" s="18">
        <f>S40</f>
        <v>14.5</v>
      </c>
      <c r="AC45" s="18">
        <f>V40</f>
        <v>14.5</v>
      </c>
      <c r="AD45" s="18">
        <f>V39</f>
        <v>14.5</v>
      </c>
      <c r="AE45" s="18">
        <f>V38</f>
        <v>14.5</v>
      </c>
      <c r="AF45" s="18">
        <f>V37</f>
        <v>14.5</v>
      </c>
      <c r="AG45" s="18">
        <f>V36</f>
        <v>14.5</v>
      </c>
      <c r="AH45" s="18">
        <f>V35</f>
        <v>14.5</v>
      </c>
      <c r="AI45" s="18">
        <f>V34</f>
        <v>14.5</v>
      </c>
      <c r="AJ45" s="18">
        <f>V33</f>
        <v>14.5</v>
      </c>
      <c r="AK45" s="18">
        <f>V32</f>
        <v>11.5</v>
      </c>
      <c r="AL45" s="18">
        <f>V31</f>
        <v>8.5</v>
      </c>
      <c r="AM45" s="18">
        <f>V30</f>
        <v>1</v>
      </c>
      <c r="AN45" s="18">
        <f>S30</f>
        <v>1</v>
      </c>
    </row>
    <row r="46" spans="1:40" hidden="1" outlineLevel="1" x14ac:dyDescent="0.2">
      <c r="A46" s="11" t="s">
        <v>10</v>
      </c>
      <c r="B46" s="17">
        <v>29</v>
      </c>
      <c r="C46" s="11" t="s">
        <v>16</v>
      </c>
      <c r="D46" s="17">
        <v>13.106770833333332</v>
      </c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 t="s">
        <v>39</v>
      </c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40" hidden="1" outlineLevel="1" x14ac:dyDescent="0.2">
      <c r="A47" s="11" t="s">
        <v>11</v>
      </c>
      <c r="B47" s="17">
        <v>96</v>
      </c>
      <c r="C47" s="11" t="s">
        <v>30</v>
      </c>
      <c r="D47" s="17">
        <v>5.4727017452523183</v>
      </c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9" t="s">
        <v>22</v>
      </c>
      <c r="R47" s="11">
        <v>1</v>
      </c>
      <c r="S47" s="11">
        <v>2</v>
      </c>
      <c r="T47" s="11">
        <v>3</v>
      </c>
      <c r="U47" s="11">
        <v>4</v>
      </c>
      <c r="V47" s="11">
        <v>5</v>
      </c>
      <c r="W47" s="11">
        <v>6</v>
      </c>
      <c r="X47" s="11">
        <v>7</v>
      </c>
      <c r="Y47" s="11">
        <v>8</v>
      </c>
      <c r="Z47" s="11">
        <v>9</v>
      </c>
      <c r="AA47" s="11">
        <v>10</v>
      </c>
      <c r="AB47" s="11">
        <v>11</v>
      </c>
      <c r="AC47" s="11">
        <v>11</v>
      </c>
      <c r="AD47" s="11">
        <v>10</v>
      </c>
      <c r="AE47" s="11">
        <v>9</v>
      </c>
      <c r="AF47" s="11">
        <v>8</v>
      </c>
      <c r="AG47" s="11">
        <v>7</v>
      </c>
      <c r="AH47" s="11">
        <v>6</v>
      </c>
      <c r="AI47" s="11">
        <v>5</v>
      </c>
      <c r="AJ47" s="11">
        <v>4</v>
      </c>
      <c r="AK47" s="11">
        <v>3</v>
      </c>
      <c r="AL47" s="11">
        <v>2</v>
      </c>
      <c r="AM47" s="11">
        <v>1</v>
      </c>
      <c r="AN47" s="11">
        <v>1</v>
      </c>
    </row>
    <row r="48" spans="1:40" hidden="1" outlineLevel="1" x14ac:dyDescent="0.2">
      <c r="A48" s="11" t="s">
        <v>12</v>
      </c>
      <c r="B48" s="17">
        <v>8.7604166666666661</v>
      </c>
      <c r="C48" s="11" t="s">
        <v>31</v>
      </c>
      <c r="D48" s="17">
        <v>6.9624673622841948</v>
      </c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16" t="s">
        <v>20</v>
      </c>
      <c r="R48" s="18">
        <f>R44</f>
        <v>15</v>
      </c>
      <c r="S48" s="18">
        <f t="shared" ref="S48:AN48" si="10">S44</f>
        <v>13</v>
      </c>
      <c r="T48" s="18">
        <f t="shared" si="10"/>
        <v>15</v>
      </c>
      <c r="U48" s="18">
        <f t="shared" si="10"/>
        <v>13</v>
      </c>
      <c r="V48" s="18">
        <f t="shared" si="10"/>
        <v>13</v>
      </c>
      <c r="W48" s="18">
        <f t="shared" si="10"/>
        <v>13</v>
      </c>
      <c r="X48" s="18">
        <f t="shared" si="10"/>
        <v>13</v>
      </c>
      <c r="Y48" s="18">
        <f t="shared" si="10"/>
        <v>13</v>
      </c>
      <c r="Z48" s="18">
        <f t="shared" si="10"/>
        <v>13</v>
      </c>
      <c r="AA48" s="18">
        <f t="shared" si="10"/>
        <v>13</v>
      </c>
      <c r="AB48" s="18">
        <f t="shared" si="10"/>
        <v>13</v>
      </c>
      <c r="AC48" s="18">
        <f t="shared" si="10"/>
        <v>13</v>
      </c>
      <c r="AD48" s="18">
        <f t="shared" si="10"/>
        <v>13</v>
      </c>
      <c r="AE48" s="18">
        <f t="shared" si="10"/>
        <v>13</v>
      </c>
      <c r="AF48" s="18">
        <f t="shared" si="10"/>
        <v>13</v>
      </c>
      <c r="AG48" s="18">
        <f t="shared" si="10"/>
        <v>13</v>
      </c>
      <c r="AH48" s="18">
        <f t="shared" si="10"/>
        <v>13</v>
      </c>
      <c r="AI48" s="18">
        <f t="shared" si="10"/>
        <v>13</v>
      </c>
      <c r="AJ48" s="18">
        <f t="shared" si="10"/>
        <v>9</v>
      </c>
      <c r="AK48" s="18">
        <f t="shared" si="10"/>
        <v>12.5</v>
      </c>
      <c r="AL48" s="18">
        <f t="shared" si="10"/>
        <v>10</v>
      </c>
      <c r="AM48" s="18">
        <f t="shared" si="10"/>
        <v>10</v>
      </c>
      <c r="AN48" s="18">
        <f t="shared" si="10"/>
        <v>15</v>
      </c>
    </row>
    <row r="49" spans="1:40" hidden="1" outlineLevel="1" x14ac:dyDescent="0.2">
      <c r="A49" s="11" t="s">
        <v>13</v>
      </c>
      <c r="B49" s="17">
        <v>12.182291666666666</v>
      </c>
      <c r="C49" s="11" t="s">
        <v>17</v>
      </c>
      <c r="D49" s="17">
        <v>0.87407407407407411</v>
      </c>
      <c r="E49" s="3"/>
      <c r="F49" s="1"/>
      <c r="G49" s="1"/>
      <c r="H49" s="1"/>
      <c r="I49" s="1"/>
      <c r="J49" s="1"/>
      <c r="K49" s="1"/>
      <c r="L49" s="1"/>
      <c r="M49" s="1"/>
      <c r="N49" s="3"/>
      <c r="O49" s="3"/>
      <c r="P49" s="3"/>
      <c r="Q49" s="9" t="s">
        <v>21</v>
      </c>
      <c r="R49" s="18">
        <f>-R45</f>
        <v>-1</v>
      </c>
      <c r="S49" s="18">
        <f t="shared" ref="S49:AN49" si="11">-S45</f>
        <v>-8.5</v>
      </c>
      <c r="T49" s="18">
        <f t="shared" si="11"/>
        <v>-11.5</v>
      </c>
      <c r="U49" s="18">
        <f t="shared" si="11"/>
        <v>-14.5</v>
      </c>
      <c r="V49" s="18">
        <f t="shared" si="11"/>
        <v>-14.5</v>
      </c>
      <c r="W49" s="18">
        <f t="shared" si="11"/>
        <v>-14.5</v>
      </c>
      <c r="X49" s="18">
        <f t="shared" si="11"/>
        <v>-14.5</v>
      </c>
      <c r="Y49" s="18">
        <f t="shared" si="11"/>
        <v>-14.5</v>
      </c>
      <c r="Z49" s="18">
        <f t="shared" si="11"/>
        <v>-14.5</v>
      </c>
      <c r="AA49" s="18">
        <f t="shared" si="11"/>
        <v>-14.5</v>
      </c>
      <c r="AB49" s="18">
        <f t="shared" si="11"/>
        <v>-14.5</v>
      </c>
      <c r="AC49" s="18">
        <f t="shared" si="11"/>
        <v>-14.5</v>
      </c>
      <c r="AD49" s="18">
        <f t="shared" si="11"/>
        <v>-14.5</v>
      </c>
      <c r="AE49" s="18">
        <f t="shared" si="11"/>
        <v>-14.5</v>
      </c>
      <c r="AF49" s="18">
        <f t="shared" si="11"/>
        <v>-14.5</v>
      </c>
      <c r="AG49" s="18">
        <f t="shared" si="11"/>
        <v>-14.5</v>
      </c>
      <c r="AH49" s="18">
        <f t="shared" si="11"/>
        <v>-14.5</v>
      </c>
      <c r="AI49" s="18">
        <f t="shared" si="11"/>
        <v>-14.5</v>
      </c>
      <c r="AJ49" s="18">
        <f t="shared" si="11"/>
        <v>-14.5</v>
      </c>
      <c r="AK49" s="18">
        <f t="shared" si="11"/>
        <v>-11.5</v>
      </c>
      <c r="AL49" s="18">
        <f t="shared" si="11"/>
        <v>-8.5</v>
      </c>
      <c r="AM49" s="18">
        <f t="shared" si="11"/>
        <v>-1</v>
      </c>
      <c r="AN49" s="18">
        <f t="shared" si="11"/>
        <v>-1</v>
      </c>
    </row>
    <row r="50" spans="1:40" ht="14.25" hidden="1" outlineLevel="1" x14ac:dyDescent="0.2">
      <c r="A50" s="11" t="s">
        <v>14</v>
      </c>
      <c r="B50" s="17">
        <v>7.1484374999999973</v>
      </c>
      <c r="C50" s="11" t="s">
        <v>32</v>
      </c>
      <c r="D50" s="17">
        <v>4.9926232883009023</v>
      </c>
      <c r="E50" s="3"/>
      <c r="F50" s="1"/>
      <c r="G50" s="1"/>
      <c r="H50" s="1"/>
      <c r="I50" s="1"/>
      <c r="J50" s="1"/>
      <c r="K50" s="1"/>
      <c r="L50" s="1"/>
      <c r="M50" s="1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1:40" hidden="1" outlineLevel="1" x14ac:dyDescent="0.2">
      <c r="A51" s="11" t="s">
        <v>15</v>
      </c>
      <c r="B51" s="17">
        <v>3.6979166666666665</v>
      </c>
      <c r="C51" s="3"/>
      <c r="D51" s="3"/>
      <c r="E51" s="3"/>
      <c r="F51" s="1"/>
      <c r="G51" s="1"/>
      <c r="H51" s="1"/>
      <c r="I51" s="1"/>
      <c r="J51" s="1"/>
      <c r="K51" s="1"/>
      <c r="L51" s="1"/>
      <c r="M51" s="1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1:40" hidden="1" outlineLevel="1" x14ac:dyDescent="0.2"/>
    <row r="53" spans="1:40" collapsed="1" x14ac:dyDescent="0.2"/>
  </sheetData>
  <sheetProtection algorithmName="SHA-512" hashValue="yMSECwSiSuoacHLPPjmZ3h1RxUfcE2vLS3nlWefitVgBdE8ou3tmfPYUfzJPRi0ANsHcofByLqDP9tmVKG+6iA==" saltValue="U1eyVC8+x+M6nE2ZfbXyzA==" spinCount="100000" sheet="1" objects="1" scenarios="1" formatCells="0"/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pinner 2">
              <controlPr defaultSize="0" autoPict="0" macro="[0]!spinner4">
                <anchor moveWithCells="1" sizeWithCells="1">
                  <from>
                    <xdr:col>4</xdr:col>
                    <xdr:colOff>0</xdr:colOff>
                    <xdr:row>2</xdr:row>
                    <xdr:rowOff>152400</xdr:rowOff>
                  </from>
                  <to>
                    <xdr:col>4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hart1default">
                <anchor moveWithCells="1" siz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247650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hart1scale">
                <anchor moveWithCells="1" sizeWithCells="1">
                  <from>
                    <xdr:col>6</xdr:col>
                    <xdr:colOff>323850</xdr:colOff>
                    <xdr:row>23</xdr:row>
                    <xdr:rowOff>9525</xdr:rowOff>
                  </from>
                  <to>
                    <xdr:col>7</xdr:col>
                    <xdr:colOff>495300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Spinner 6">
              <controlPr defaultSize="0" autoPict="0" macro="[0]!spinner5">
                <anchor moveWithCells="1" sizeWithCells="1">
                  <from>
                    <xdr:col>4</xdr:col>
                    <xdr:colOff>0</xdr:colOff>
                    <xdr:row>28</xdr:row>
                    <xdr:rowOff>152400</xdr:rowOff>
                  </from>
                  <to>
                    <xdr:col>4</xdr:col>
                    <xdr:colOff>152400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chart9default">
                <anchor moveWithCells="1" sizeWithCells="1">
                  <from>
                    <xdr:col>5</xdr:col>
                    <xdr:colOff>0</xdr:colOff>
                    <xdr:row>49</xdr:row>
                    <xdr:rowOff>9525</xdr:rowOff>
                  </from>
                  <to>
                    <xdr:col>6</xdr:col>
                    <xdr:colOff>171450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chart9scale">
                <anchor moveWithCells="1" sizeWithCells="1">
                  <from>
                    <xdr:col>6</xdr:col>
                    <xdr:colOff>247650</xdr:colOff>
                    <xdr:row>49</xdr:row>
                    <xdr:rowOff>9525</xdr:rowOff>
                  </from>
                  <to>
                    <xdr:col>7</xdr:col>
                    <xdr:colOff>419100</xdr:colOff>
                    <xdr:row>51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N44"/>
  <sheetViews>
    <sheetView showGridLines="0" workbookViewId="0">
      <selection activeCell="C6" sqref="C6"/>
    </sheetView>
  </sheetViews>
  <sheetFormatPr defaultColWidth="9.140625" defaultRowHeight="12.75" outlineLevelRow="1" x14ac:dyDescent="0.2"/>
  <cols>
    <col min="1" max="5" width="12.7109375" style="3" customWidth="1"/>
    <col min="6" max="18" width="9.140625" style="3"/>
    <col min="19" max="22" width="12.42578125" style="3" bestFit="1" customWidth="1"/>
    <col min="23" max="23" width="11.42578125" style="3" bestFit="1" customWidth="1"/>
    <col min="24" max="28" width="12.42578125" style="3" bestFit="1" customWidth="1"/>
    <col min="29" max="16384" width="9.140625" style="3"/>
  </cols>
  <sheetData>
    <row r="1" spans="1:27" ht="15" x14ac:dyDescent="0.25">
      <c r="A1" s="2" t="s">
        <v>46</v>
      </c>
    </row>
    <row r="2" spans="1:27" outlineLevel="1" x14ac:dyDescent="0.2">
      <c r="B2" s="3" t="s">
        <v>51</v>
      </c>
      <c r="Q2" s="4" t="s">
        <v>52</v>
      </c>
      <c r="R2" s="5"/>
      <c r="S2" s="5"/>
      <c r="T2" s="4" t="s">
        <v>40</v>
      </c>
      <c r="W2" s="6"/>
      <c r="X2" s="6" t="s">
        <v>33</v>
      </c>
      <c r="Y2" s="6"/>
      <c r="Z2" s="6"/>
    </row>
    <row r="3" spans="1:27" outlineLevel="1" x14ac:dyDescent="0.2">
      <c r="A3" s="7" t="s">
        <v>8</v>
      </c>
      <c r="E3" s="8"/>
      <c r="Q3" s="9" t="s">
        <v>22</v>
      </c>
      <c r="R3" s="9" t="s">
        <v>20</v>
      </c>
      <c r="S3" s="9" t="s">
        <v>41</v>
      </c>
      <c r="T3" s="22" t="s">
        <v>22</v>
      </c>
      <c r="U3" s="9" t="s">
        <v>20</v>
      </c>
      <c r="V3" s="9" t="s">
        <v>41</v>
      </c>
      <c r="W3" s="10"/>
      <c r="X3" s="9" t="s">
        <v>22</v>
      </c>
      <c r="Y3" s="9" t="s">
        <v>20</v>
      </c>
      <c r="Z3" s="9" t="s">
        <v>41</v>
      </c>
    </row>
    <row r="4" spans="1:27" outlineLevel="1" x14ac:dyDescent="0.2">
      <c r="A4" s="11" t="s">
        <v>1</v>
      </c>
      <c r="B4" s="11" t="s">
        <v>2</v>
      </c>
      <c r="C4" s="11" t="s">
        <v>25</v>
      </c>
      <c r="D4" s="15" t="s">
        <v>29</v>
      </c>
      <c r="E4" s="9" t="s">
        <v>28</v>
      </c>
      <c r="Q4" s="11">
        <v>1</v>
      </c>
      <c r="R4" s="18">
        <f>C5</f>
        <v>-72</v>
      </c>
      <c r="S4" s="18">
        <f>D5</f>
        <v>0</v>
      </c>
      <c r="T4" s="102">
        <v>1</v>
      </c>
      <c r="U4" s="18">
        <f>C5-A5</f>
        <v>-81</v>
      </c>
      <c r="V4" s="18">
        <f t="shared" ref="V4:V14" si="0">S4</f>
        <v>0</v>
      </c>
      <c r="W4" s="6"/>
      <c r="X4" s="11">
        <v>1</v>
      </c>
      <c r="Y4" s="18">
        <f>B25+1/2*D23</f>
        <v>-72</v>
      </c>
      <c r="Z4" s="18">
        <f>D25</f>
        <v>9.875</v>
      </c>
    </row>
    <row r="5" spans="1:27" outlineLevel="1" x14ac:dyDescent="0.2">
      <c r="A5" s="12">
        <v>9</v>
      </c>
      <c r="B5" s="12">
        <v>0</v>
      </c>
      <c r="C5" s="12">
        <v>-72</v>
      </c>
      <c r="D5" s="12">
        <v>0</v>
      </c>
      <c r="E5" s="12">
        <v>1</v>
      </c>
      <c r="Q5" s="11">
        <v>2</v>
      </c>
      <c r="R5" s="18">
        <f>R4-D8</f>
        <v>-72</v>
      </c>
      <c r="S5" s="18">
        <f t="shared" ref="S5:S14" si="1">S4+C8</f>
        <v>19.75</v>
      </c>
      <c r="T5" s="102">
        <v>2</v>
      </c>
      <c r="U5" s="18">
        <f t="shared" ref="U5:U14" si="2">R5-B8</f>
        <v>-81</v>
      </c>
      <c r="V5" s="18">
        <f t="shared" si="0"/>
        <v>19.75</v>
      </c>
      <c r="W5" s="6"/>
      <c r="X5" s="11">
        <v>2</v>
      </c>
      <c r="Y5" s="18">
        <f>D24</f>
        <v>-74.25</v>
      </c>
      <c r="Z5" s="18">
        <f>D25</f>
        <v>9.875</v>
      </c>
    </row>
    <row r="6" spans="1:27" outlineLevel="1" x14ac:dyDescent="0.2">
      <c r="Q6" s="11">
        <v>3</v>
      </c>
      <c r="R6" s="18">
        <f t="shared" ref="R6:R14" si="3">R5-D9</f>
        <v>-72</v>
      </c>
      <c r="S6" s="18">
        <f t="shared" si="1"/>
        <v>19.75</v>
      </c>
      <c r="T6" s="102">
        <v>3</v>
      </c>
      <c r="U6" s="18">
        <f t="shared" si="2"/>
        <v>-72</v>
      </c>
      <c r="V6" s="18">
        <f t="shared" si="0"/>
        <v>19.75</v>
      </c>
      <c r="W6" s="6"/>
      <c r="X6" s="11">
        <v>3</v>
      </c>
      <c r="Y6" s="18">
        <f>B25-1/2*D23</f>
        <v>-81</v>
      </c>
      <c r="Z6" s="18">
        <f>D25</f>
        <v>9.875</v>
      </c>
    </row>
    <row r="7" spans="1:27" outlineLevel="1" x14ac:dyDescent="0.2">
      <c r="A7" s="13" t="s">
        <v>3</v>
      </c>
      <c r="B7" s="13" t="s">
        <v>4</v>
      </c>
      <c r="C7" s="13" t="s">
        <v>5</v>
      </c>
      <c r="D7" s="13" t="s">
        <v>6</v>
      </c>
      <c r="E7" s="20"/>
      <c r="Q7" s="11">
        <v>4</v>
      </c>
      <c r="R7" s="18">
        <f t="shared" si="3"/>
        <v>-72</v>
      </c>
      <c r="S7" s="18">
        <f t="shared" si="1"/>
        <v>19.75</v>
      </c>
      <c r="T7" s="102">
        <v>4</v>
      </c>
      <c r="U7" s="18">
        <f t="shared" si="2"/>
        <v>-72</v>
      </c>
      <c r="V7" s="18">
        <f t="shared" si="0"/>
        <v>19.75</v>
      </c>
      <c r="W7" s="6"/>
      <c r="X7" s="6"/>
      <c r="Y7" s="6"/>
      <c r="Z7" s="6"/>
      <c r="AA7" s="6"/>
    </row>
    <row r="8" spans="1:27" outlineLevel="1" x14ac:dyDescent="0.2">
      <c r="A8" s="11">
        <v>1</v>
      </c>
      <c r="B8" s="12">
        <v>9</v>
      </c>
      <c r="C8" s="12">
        <v>19.75</v>
      </c>
      <c r="D8" s="12">
        <v>0</v>
      </c>
      <c r="E8" s="1"/>
      <c r="Q8" s="11">
        <v>5</v>
      </c>
      <c r="R8" s="18">
        <f t="shared" si="3"/>
        <v>-72</v>
      </c>
      <c r="S8" s="18">
        <f t="shared" si="1"/>
        <v>19.75</v>
      </c>
      <c r="T8" s="102">
        <v>5</v>
      </c>
      <c r="U8" s="18">
        <f t="shared" si="2"/>
        <v>-72</v>
      </c>
      <c r="V8" s="18">
        <f t="shared" si="0"/>
        <v>19.75</v>
      </c>
      <c r="W8" s="6"/>
      <c r="X8" s="6"/>
      <c r="Y8" s="6"/>
      <c r="Z8" s="6"/>
      <c r="AA8" s="6"/>
    </row>
    <row r="9" spans="1:27" outlineLevel="1" x14ac:dyDescent="0.2">
      <c r="A9" s="15"/>
      <c r="B9" s="15"/>
      <c r="C9" s="15"/>
      <c r="D9" s="15"/>
      <c r="E9" s="1"/>
      <c r="Q9" s="11">
        <v>6</v>
      </c>
      <c r="R9" s="18">
        <f t="shared" si="3"/>
        <v>-72</v>
      </c>
      <c r="S9" s="18">
        <f t="shared" si="1"/>
        <v>19.75</v>
      </c>
      <c r="T9" s="102">
        <v>6</v>
      </c>
      <c r="U9" s="18">
        <f t="shared" si="2"/>
        <v>-72</v>
      </c>
      <c r="V9" s="18">
        <f t="shared" si="0"/>
        <v>19.75</v>
      </c>
      <c r="W9" s="6"/>
      <c r="X9" s="6"/>
      <c r="Y9" s="6"/>
      <c r="Z9" s="6"/>
      <c r="AA9" s="6"/>
    </row>
    <row r="10" spans="1:27" outlineLevel="1" x14ac:dyDescent="0.2">
      <c r="A10" s="15"/>
      <c r="B10" s="15"/>
      <c r="C10" s="15"/>
      <c r="D10" s="15"/>
      <c r="E10" s="1"/>
      <c r="Q10" s="11">
        <v>7</v>
      </c>
      <c r="R10" s="18">
        <f t="shared" si="3"/>
        <v>-72</v>
      </c>
      <c r="S10" s="18">
        <f t="shared" si="1"/>
        <v>19.75</v>
      </c>
      <c r="T10" s="102">
        <v>7</v>
      </c>
      <c r="U10" s="18">
        <f t="shared" si="2"/>
        <v>-72</v>
      </c>
      <c r="V10" s="18">
        <f t="shared" si="0"/>
        <v>19.75</v>
      </c>
      <c r="W10" s="6"/>
      <c r="X10" s="6"/>
      <c r="Y10" s="6"/>
      <c r="Z10" s="6"/>
      <c r="AA10" s="6"/>
    </row>
    <row r="11" spans="1:27" outlineLevel="1" x14ac:dyDescent="0.2">
      <c r="A11" s="15"/>
      <c r="B11" s="15"/>
      <c r="C11" s="15"/>
      <c r="D11" s="15"/>
      <c r="E11" s="1"/>
      <c r="Q11" s="11">
        <v>8</v>
      </c>
      <c r="R11" s="18">
        <f t="shared" si="3"/>
        <v>-72</v>
      </c>
      <c r="S11" s="18">
        <f t="shared" si="1"/>
        <v>19.75</v>
      </c>
      <c r="T11" s="102">
        <v>8</v>
      </c>
      <c r="U11" s="18">
        <f t="shared" si="2"/>
        <v>-72</v>
      </c>
      <c r="V11" s="18">
        <f t="shared" si="0"/>
        <v>19.75</v>
      </c>
      <c r="W11" s="6"/>
      <c r="X11" s="6"/>
      <c r="Y11" s="6"/>
      <c r="Z11" s="6"/>
      <c r="AA11" s="6"/>
    </row>
    <row r="12" spans="1:27" outlineLevel="1" x14ac:dyDescent="0.2">
      <c r="A12" s="15"/>
      <c r="B12" s="15"/>
      <c r="C12" s="15"/>
      <c r="D12" s="15"/>
      <c r="E12" s="1"/>
      <c r="Q12" s="11">
        <v>9</v>
      </c>
      <c r="R12" s="18">
        <f t="shared" si="3"/>
        <v>-72</v>
      </c>
      <c r="S12" s="18">
        <f t="shared" si="1"/>
        <v>19.75</v>
      </c>
      <c r="T12" s="102">
        <v>9</v>
      </c>
      <c r="U12" s="18">
        <f t="shared" si="2"/>
        <v>-72</v>
      </c>
      <c r="V12" s="18">
        <f t="shared" si="0"/>
        <v>19.75</v>
      </c>
      <c r="W12" s="6"/>
      <c r="X12" s="6"/>
      <c r="Y12" s="6"/>
      <c r="Z12" s="6"/>
      <c r="AA12" s="6"/>
    </row>
    <row r="13" spans="1:27" outlineLevel="1" x14ac:dyDescent="0.2">
      <c r="A13" s="15"/>
      <c r="B13" s="15"/>
      <c r="C13" s="15"/>
      <c r="D13" s="15"/>
      <c r="E13" s="1"/>
      <c r="Q13" s="11">
        <v>10</v>
      </c>
      <c r="R13" s="18">
        <f t="shared" si="3"/>
        <v>-72</v>
      </c>
      <c r="S13" s="18">
        <f t="shared" si="1"/>
        <v>19.75</v>
      </c>
      <c r="T13" s="102">
        <v>10</v>
      </c>
      <c r="U13" s="18">
        <f t="shared" si="2"/>
        <v>-72</v>
      </c>
      <c r="V13" s="18">
        <f t="shared" si="0"/>
        <v>19.75</v>
      </c>
      <c r="W13" s="6"/>
      <c r="X13" s="6"/>
      <c r="Y13" s="6"/>
      <c r="Z13" s="6"/>
      <c r="AA13" s="6"/>
    </row>
    <row r="14" spans="1:27" outlineLevel="1" x14ac:dyDescent="0.2">
      <c r="A14" s="15"/>
      <c r="B14" s="15"/>
      <c r="C14" s="15"/>
      <c r="D14" s="15"/>
      <c r="E14" s="1"/>
      <c r="Q14" s="11">
        <v>11</v>
      </c>
      <c r="R14" s="18">
        <f t="shared" si="3"/>
        <v>-72</v>
      </c>
      <c r="S14" s="18">
        <f t="shared" si="1"/>
        <v>19.75</v>
      </c>
      <c r="T14" s="102">
        <v>11</v>
      </c>
      <c r="U14" s="18">
        <f t="shared" si="2"/>
        <v>-72</v>
      </c>
      <c r="V14" s="18">
        <f t="shared" si="0"/>
        <v>19.75</v>
      </c>
      <c r="W14" s="6"/>
      <c r="X14" s="6"/>
      <c r="Y14" s="6"/>
      <c r="Z14" s="6"/>
      <c r="AA14" s="6"/>
    </row>
    <row r="15" spans="1:27" outlineLevel="1" x14ac:dyDescent="0.2">
      <c r="A15" s="15"/>
      <c r="B15" s="15"/>
      <c r="C15" s="15"/>
      <c r="D15" s="15"/>
      <c r="E15" s="1"/>
    </row>
    <row r="16" spans="1:27" outlineLevel="1" x14ac:dyDescent="0.2">
      <c r="A16" s="15"/>
      <c r="B16" s="15"/>
      <c r="C16" s="15"/>
      <c r="D16" s="15"/>
      <c r="E16" s="1"/>
      <c r="Q16" s="3" t="s">
        <v>42</v>
      </c>
    </row>
    <row r="17" spans="1:40" outlineLevel="1" x14ac:dyDescent="0.2">
      <c r="A17" s="15"/>
      <c r="B17" s="15"/>
      <c r="C17" s="15"/>
      <c r="D17" s="15"/>
      <c r="E17" s="1"/>
      <c r="Q17" s="9" t="s">
        <v>22</v>
      </c>
      <c r="R17" s="11">
        <v>1</v>
      </c>
      <c r="S17" s="11">
        <v>2</v>
      </c>
      <c r="T17" s="11">
        <v>3</v>
      </c>
      <c r="U17" s="11">
        <v>4</v>
      </c>
      <c r="V17" s="11">
        <v>5</v>
      </c>
      <c r="W17" s="11">
        <v>6</v>
      </c>
      <c r="X17" s="11">
        <v>7</v>
      </c>
      <c r="Y17" s="11">
        <v>8</v>
      </c>
      <c r="Z17" s="11">
        <v>9</v>
      </c>
      <c r="AA17" s="11">
        <v>10</v>
      </c>
      <c r="AB17" s="11">
        <v>11</v>
      </c>
      <c r="AC17" s="11">
        <v>11</v>
      </c>
      <c r="AD17" s="11">
        <v>10</v>
      </c>
      <c r="AE17" s="11">
        <v>9</v>
      </c>
      <c r="AF17" s="11">
        <v>8</v>
      </c>
      <c r="AG17" s="11">
        <v>7</v>
      </c>
      <c r="AH17" s="11">
        <v>6</v>
      </c>
      <c r="AI17" s="11">
        <v>5</v>
      </c>
      <c r="AJ17" s="11">
        <v>4</v>
      </c>
      <c r="AK17" s="11">
        <v>3</v>
      </c>
      <c r="AL17" s="11">
        <v>2</v>
      </c>
      <c r="AM17" s="11">
        <v>1</v>
      </c>
      <c r="AN17" s="11">
        <v>1</v>
      </c>
    </row>
    <row r="18" spans="1:40" outlineLevel="1" x14ac:dyDescent="0.2">
      <c r="Q18" s="16" t="s">
        <v>20</v>
      </c>
      <c r="R18" s="18">
        <f>R4</f>
        <v>-72</v>
      </c>
      <c r="S18" s="18">
        <f>R5</f>
        <v>-72</v>
      </c>
      <c r="T18" s="18">
        <f>R6</f>
        <v>-72</v>
      </c>
      <c r="U18" s="18">
        <f>R7</f>
        <v>-72</v>
      </c>
      <c r="V18" s="18">
        <f>R8</f>
        <v>-72</v>
      </c>
      <c r="W18" s="18">
        <f>R9</f>
        <v>-72</v>
      </c>
      <c r="X18" s="18">
        <f>R10</f>
        <v>-72</v>
      </c>
      <c r="Y18" s="18">
        <f>R11</f>
        <v>-72</v>
      </c>
      <c r="Z18" s="18">
        <f>R12</f>
        <v>-72</v>
      </c>
      <c r="AA18" s="18">
        <f>R13</f>
        <v>-72</v>
      </c>
      <c r="AB18" s="18">
        <f>R14</f>
        <v>-72</v>
      </c>
      <c r="AC18" s="18">
        <f>U14</f>
        <v>-72</v>
      </c>
      <c r="AD18" s="18">
        <f>U13</f>
        <v>-72</v>
      </c>
      <c r="AE18" s="18">
        <f>U12</f>
        <v>-72</v>
      </c>
      <c r="AF18" s="18">
        <f>U11</f>
        <v>-72</v>
      </c>
      <c r="AG18" s="18">
        <f>U10</f>
        <v>-72</v>
      </c>
      <c r="AH18" s="18">
        <f>U9</f>
        <v>-72</v>
      </c>
      <c r="AI18" s="18">
        <f>U8</f>
        <v>-72</v>
      </c>
      <c r="AJ18" s="18">
        <f>U7</f>
        <v>-72</v>
      </c>
      <c r="AK18" s="18">
        <f>U6</f>
        <v>-72</v>
      </c>
      <c r="AL18" s="18">
        <f>U5</f>
        <v>-81</v>
      </c>
      <c r="AM18" s="18">
        <f>U4</f>
        <v>-81</v>
      </c>
      <c r="AN18" s="18">
        <f>R4</f>
        <v>-72</v>
      </c>
    </row>
    <row r="19" spans="1:40" outlineLevel="1" x14ac:dyDescent="0.2">
      <c r="A19" s="11" t="s">
        <v>47</v>
      </c>
      <c r="B19" s="11" t="s">
        <v>7</v>
      </c>
      <c r="Q19" s="9" t="s">
        <v>41</v>
      </c>
      <c r="R19" s="18">
        <f>S4</f>
        <v>0</v>
      </c>
      <c r="S19" s="18">
        <f>R19+C8*SIN($B$20*PI()/180)</f>
        <v>19.75</v>
      </c>
      <c r="T19" s="18">
        <f>S19+C9*SIN($B$20*PI()/180)</f>
        <v>19.75</v>
      </c>
      <c r="U19" s="18">
        <f>T19+C10*SIN($B$20*PI()/180)</f>
        <v>19.75</v>
      </c>
      <c r="V19" s="18">
        <f>U19+C11*SIN($B$20*PI()/180)</f>
        <v>19.75</v>
      </c>
      <c r="W19" s="18">
        <f>V19+C12*SIN($B$20*PI()/180)</f>
        <v>19.75</v>
      </c>
      <c r="X19" s="18">
        <f>W19+C13*SIN($B$20*PI()/180)</f>
        <v>19.75</v>
      </c>
      <c r="Y19" s="18">
        <f>X19+C14*SIN($B$20*PI()/180)</f>
        <v>19.75</v>
      </c>
      <c r="Z19" s="18">
        <f>Y19+C15*SIN($B$20*PI()/180)</f>
        <v>19.75</v>
      </c>
      <c r="AA19" s="18">
        <f>Z19+C16*SIN($B$20*PI()/180)</f>
        <v>19.75</v>
      </c>
      <c r="AB19" s="18">
        <f>AA19+C17*SIN($B$20*PI()/180)</f>
        <v>19.75</v>
      </c>
      <c r="AC19" s="18">
        <f>AB19</f>
        <v>19.75</v>
      </c>
      <c r="AD19" s="18">
        <f>AA19</f>
        <v>19.75</v>
      </c>
      <c r="AE19" s="18">
        <f>Z19</f>
        <v>19.75</v>
      </c>
      <c r="AF19" s="18">
        <f>Y19</f>
        <v>19.75</v>
      </c>
      <c r="AG19" s="18">
        <f>X19</f>
        <v>19.75</v>
      </c>
      <c r="AH19" s="18">
        <f>W19</f>
        <v>19.75</v>
      </c>
      <c r="AI19" s="18">
        <f>V19</f>
        <v>19.75</v>
      </c>
      <c r="AJ19" s="18">
        <f>U19</f>
        <v>19.75</v>
      </c>
      <c r="AK19" s="18">
        <f>T19</f>
        <v>19.75</v>
      </c>
      <c r="AL19" s="18">
        <f>S19</f>
        <v>19.75</v>
      </c>
      <c r="AM19" s="18">
        <f>R19</f>
        <v>0</v>
      </c>
      <c r="AN19" s="18">
        <f>R19</f>
        <v>0</v>
      </c>
    </row>
    <row r="20" spans="1:40" outlineLevel="1" x14ac:dyDescent="0.2">
      <c r="A20" s="80">
        <v>1</v>
      </c>
      <c r="B20" s="12">
        <v>90</v>
      </c>
      <c r="Q20" s="9" t="s">
        <v>49</v>
      </c>
      <c r="R20" s="18">
        <f>B5</f>
        <v>0</v>
      </c>
      <c r="S20" s="18">
        <f>R20+C8*COS($B$20*PI()/180)</f>
        <v>1.2098340992222623E-15</v>
      </c>
      <c r="T20" s="18">
        <f>S20+C9*COS($B$20*PI()/180)</f>
        <v>1.2098340992222623E-15</v>
      </c>
      <c r="U20" s="18">
        <f>T20+C10*COS($B$20*PI()/180)</f>
        <v>1.2098340992222623E-15</v>
      </c>
      <c r="V20" s="18">
        <f>U20+C11*COS($B$20*PI()/180)</f>
        <v>1.2098340992222623E-15</v>
      </c>
      <c r="W20" s="18">
        <f>V20+C12*COS($B$20*PI()/180)</f>
        <v>1.2098340992222623E-15</v>
      </c>
      <c r="X20" s="18">
        <f>W20+C13*COS($B$20*PI()/180)</f>
        <v>1.2098340992222623E-15</v>
      </c>
      <c r="Y20" s="18">
        <f>X20+C14*COS($B$20*PI()/180)</f>
        <v>1.2098340992222623E-15</v>
      </c>
      <c r="Z20" s="18">
        <f>Y20+C15*COS($B$20*PI()/180)</f>
        <v>1.2098340992222623E-15</v>
      </c>
      <c r="AA20" s="18">
        <f>Z20+C16*COS($B$20*PI()/180)</f>
        <v>1.2098340992222623E-15</v>
      </c>
      <c r="AB20" s="18">
        <f>AA20+C17*COS($B$20*PI()/180)</f>
        <v>1.2098340992222623E-15</v>
      </c>
      <c r="AC20" s="18">
        <f>AB20</f>
        <v>1.2098340992222623E-15</v>
      </c>
      <c r="AD20" s="18">
        <f>AA20</f>
        <v>1.2098340992222623E-15</v>
      </c>
      <c r="AE20" s="18">
        <f>Z20</f>
        <v>1.2098340992222623E-15</v>
      </c>
      <c r="AF20" s="18">
        <f>Y20</f>
        <v>1.2098340992222623E-15</v>
      </c>
      <c r="AG20" s="18">
        <f>X20</f>
        <v>1.2098340992222623E-15</v>
      </c>
      <c r="AH20" s="18">
        <f>W20</f>
        <v>1.2098340992222623E-15</v>
      </c>
      <c r="AI20" s="18">
        <f>V20</f>
        <v>1.2098340992222623E-15</v>
      </c>
      <c r="AJ20" s="18">
        <f>U20</f>
        <v>1.2098340992222623E-15</v>
      </c>
      <c r="AK20" s="18">
        <f>T20</f>
        <v>1.2098340992222623E-15</v>
      </c>
      <c r="AL20" s="18">
        <f>S20</f>
        <v>1.2098340992222623E-15</v>
      </c>
      <c r="AM20" s="18">
        <f>R20</f>
        <v>0</v>
      </c>
      <c r="AN20" s="18">
        <f>R20</f>
        <v>0</v>
      </c>
    </row>
    <row r="21" spans="1:40" outlineLevel="1" x14ac:dyDescent="0.2">
      <c r="Q21" s="9" t="s">
        <v>48</v>
      </c>
      <c r="R21" s="18">
        <f>IF($A$20=2,-R20,R20)</f>
        <v>0</v>
      </c>
      <c r="S21" s="18">
        <f t="shared" ref="S21:AB21" si="4">IF($A$20=2,-S20,S20)</f>
        <v>1.2098340992222623E-15</v>
      </c>
      <c r="T21" s="18">
        <f t="shared" si="4"/>
        <v>1.2098340992222623E-15</v>
      </c>
      <c r="U21" s="18">
        <f t="shared" si="4"/>
        <v>1.2098340992222623E-15</v>
      </c>
      <c r="V21" s="18">
        <f t="shared" si="4"/>
        <v>1.2098340992222623E-15</v>
      </c>
      <c r="W21" s="18">
        <f t="shared" si="4"/>
        <v>1.2098340992222623E-15</v>
      </c>
      <c r="X21" s="18">
        <f t="shared" si="4"/>
        <v>1.2098340992222623E-15</v>
      </c>
      <c r="Y21" s="18">
        <f t="shared" si="4"/>
        <v>1.2098340992222623E-15</v>
      </c>
      <c r="Z21" s="18">
        <f t="shared" si="4"/>
        <v>1.2098340992222623E-15</v>
      </c>
      <c r="AA21" s="18">
        <f t="shared" si="4"/>
        <v>1.2098340992222623E-15</v>
      </c>
      <c r="AB21" s="18">
        <f t="shared" si="4"/>
        <v>1.2098340992222623E-15</v>
      </c>
      <c r="AC21" s="18">
        <f t="shared" ref="AC21:AN21" si="5">IF($A$20=2,-AC20,AC20)</f>
        <v>1.2098340992222623E-15</v>
      </c>
      <c r="AD21" s="18">
        <f t="shared" si="5"/>
        <v>1.2098340992222623E-15</v>
      </c>
      <c r="AE21" s="18">
        <f t="shared" si="5"/>
        <v>1.2098340992222623E-15</v>
      </c>
      <c r="AF21" s="18">
        <f t="shared" si="5"/>
        <v>1.2098340992222623E-15</v>
      </c>
      <c r="AG21" s="18">
        <f t="shared" si="5"/>
        <v>1.2098340992222623E-15</v>
      </c>
      <c r="AH21" s="18">
        <f t="shared" si="5"/>
        <v>1.2098340992222623E-15</v>
      </c>
      <c r="AI21" s="18">
        <f t="shared" si="5"/>
        <v>1.2098340992222623E-15</v>
      </c>
      <c r="AJ21" s="18">
        <f t="shared" si="5"/>
        <v>1.2098340992222623E-15</v>
      </c>
      <c r="AK21" s="18">
        <f t="shared" si="5"/>
        <v>1.2098340992222623E-15</v>
      </c>
      <c r="AL21" s="18">
        <f t="shared" si="5"/>
        <v>1.2098340992222623E-15</v>
      </c>
      <c r="AM21" s="18">
        <f t="shared" si="5"/>
        <v>0</v>
      </c>
      <c r="AN21" s="18">
        <f t="shared" si="5"/>
        <v>0</v>
      </c>
    </row>
    <row r="22" spans="1:40" outlineLevel="1" x14ac:dyDescent="0.2">
      <c r="A22" s="7" t="s">
        <v>60</v>
      </c>
      <c r="Q22" s="21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</row>
    <row r="23" spans="1:40" outlineLevel="1" x14ac:dyDescent="0.2">
      <c r="A23" s="11" t="s">
        <v>5</v>
      </c>
      <c r="B23" s="17">
        <v>19.75</v>
      </c>
      <c r="C23" s="11" t="s">
        <v>15</v>
      </c>
      <c r="D23" s="17">
        <v>9</v>
      </c>
      <c r="Q23" s="10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</row>
    <row r="24" spans="1:40" outlineLevel="1" x14ac:dyDescent="0.2">
      <c r="A24" s="11" t="s">
        <v>50</v>
      </c>
      <c r="B24" s="17">
        <v>177.75</v>
      </c>
      <c r="C24" s="15" t="s">
        <v>16</v>
      </c>
      <c r="D24" s="17">
        <v>-74.25</v>
      </c>
    </row>
    <row r="25" spans="1:40" outlineLevel="1" x14ac:dyDescent="0.2">
      <c r="A25" s="11" t="s">
        <v>13</v>
      </c>
      <c r="B25" s="17">
        <v>-76.5</v>
      </c>
      <c r="C25" s="11" t="s">
        <v>43</v>
      </c>
      <c r="D25" s="17">
        <v>9.875</v>
      </c>
      <c r="F25" s="101"/>
    </row>
    <row r="26" spans="1:40" outlineLevel="1" x14ac:dyDescent="0.2"/>
    <row r="27" spans="1:40" outlineLevel="1" x14ac:dyDescent="0.2">
      <c r="A27" s="7" t="s">
        <v>61</v>
      </c>
    </row>
    <row r="28" spans="1:40" outlineLevel="1" x14ac:dyDescent="0.2">
      <c r="A28" s="11" t="s">
        <v>10</v>
      </c>
      <c r="B28" s="17">
        <v>0</v>
      </c>
      <c r="C28" s="11" t="s">
        <v>12</v>
      </c>
      <c r="D28" s="17">
        <v>0</v>
      </c>
    </row>
    <row r="29" spans="1:40" outlineLevel="1" x14ac:dyDescent="0.2">
      <c r="A29" s="28" t="s">
        <v>44</v>
      </c>
      <c r="B29" s="29">
        <v>177.75</v>
      </c>
      <c r="C29" s="11" t="s">
        <v>30</v>
      </c>
      <c r="D29" s="17">
        <v>0</v>
      </c>
    </row>
    <row r="30" spans="1:40" ht="14.25" outlineLevel="1" x14ac:dyDescent="0.2">
      <c r="A30" s="15" t="s">
        <v>45</v>
      </c>
      <c r="B30" s="17">
        <v>0</v>
      </c>
      <c r="C30" s="11" t="s">
        <v>32</v>
      </c>
      <c r="D30" s="17">
        <v>0</v>
      </c>
    </row>
    <row r="31" spans="1:40" outlineLevel="1" x14ac:dyDescent="0.2"/>
    <row r="32" spans="1:40" outlineLevel="1" x14ac:dyDescent="0.2"/>
    <row r="33" outlineLevel="1" x14ac:dyDescent="0.2"/>
    <row r="34" outlineLevel="1" x14ac:dyDescent="0.2"/>
    <row r="35" outlineLevel="1" x14ac:dyDescent="0.2"/>
    <row r="36" outlineLevel="1" x14ac:dyDescent="0.2"/>
    <row r="37" outlineLevel="1" x14ac:dyDescent="0.2"/>
    <row r="38" outlineLevel="1" x14ac:dyDescent="0.2"/>
    <row r="39" outlineLevel="1" x14ac:dyDescent="0.2"/>
    <row r="40" outlineLevel="1" x14ac:dyDescent="0.2"/>
    <row r="41" outlineLevel="1" x14ac:dyDescent="0.2"/>
    <row r="42" outlineLevel="1" x14ac:dyDescent="0.2"/>
    <row r="43" outlineLevel="1" x14ac:dyDescent="0.2"/>
    <row r="44" outlineLevel="1" x14ac:dyDescent="0.2"/>
  </sheetData>
  <sheetProtection algorithmName="SHA-512" hashValue="YLtT66YZJkHpDYUQG3qKDpERlnXtJaOQn2L8M4TH1eMnDNLh9WNONYzYwuuBPAD88UYUjPovTk6fsxyWM+9dSw==" saltValue="a7XxGbCP64LoAYsDZICOQg==" spinCount="100000" sheet="1" objects="1" scenarios="1" formatCells="0"/>
  <phoneticPr fontId="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inner 2">
              <controlPr defaultSize="0" autoPict="0" macro="[0]!spinner6">
                <anchor moveWithCells="1" sizeWithCells="1">
                  <from>
                    <xdr:col>4</xdr:col>
                    <xdr:colOff>0</xdr:colOff>
                    <xdr:row>2</xdr:row>
                    <xdr:rowOff>152400</xdr:rowOff>
                  </from>
                  <to>
                    <xdr:col>4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hart1default">
                <anchor moveWithCells="1" sizeWithCells="1">
                  <from>
                    <xdr:col>4</xdr:col>
                    <xdr:colOff>123825</xdr:colOff>
                    <xdr:row>18</xdr:row>
                    <xdr:rowOff>95250</xdr:rowOff>
                  </from>
                  <to>
                    <xdr:col>5</xdr:col>
                    <xdr:colOff>57150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hart1bscale">
                <anchor moveWithCells="1" sizeWithCells="1">
                  <from>
                    <xdr:col>4</xdr:col>
                    <xdr:colOff>123825</xdr:colOff>
                    <xdr:row>20</xdr:row>
                    <xdr:rowOff>142875</xdr:rowOff>
                  </from>
                  <to>
                    <xdr:col>5</xdr:col>
                    <xdr:colOff>57150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Spinner 5">
              <controlPr defaultSize="0" autoPict="0" macro="[0]!spinner7">
                <anchor moveWithCells="1" sizeWithCells="1">
                  <from>
                    <xdr:col>0</xdr:col>
                    <xdr:colOff>695325</xdr:colOff>
                    <xdr:row>17</xdr:row>
                    <xdr:rowOff>152400</xdr:rowOff>
                  </from>
                  <to>
                    <xdr:col>1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chart6default">
                <anchor moveWithCells="1" sizeWithCells="1">
                  <from>
                    <xdr:col>4</xdr:col>
                    <xdr:colOff>123825</xdr:colOff>
                    <xdr:row>39</xdr:row>
                    <xdr:rowOff>9525</xdr:rowOff>
                  </from>
                  <to>
                    <xdr:col>5</xdr:col>
                    <xdr:colOff>57150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chart6scale">
                <anchor moveWithCells="1" sizeWithCells="1">
                  <from>
                    <xdr:col>4</xdr:col>
                    <xdr:colOff>123825</xdr:colOff>
                    <xdr:row>41</xdr:row>
                    <xdr:rowOff>57150</xdr:rowOff>
                  </from>
                  <to>
                    <xdr:col>5</xdr:col>
                    <xdr:colOff>57150</xdr:colOff>
                    <xdr:row>43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82"/>
  <sheetViews>
    <sheetView showGridLines="0" workbookViewId="0">
      <selection activeCell="B12" sqref="B12"/>
    </sheetView>
  </sheetViews>
  <sheetFormatPr defaultColWidth="9.140625" defaultRowHeight="12.75" x14ac:dyDescent="0.2"/>
  <cols>
    <col min="1" max="16384" width="9.140625" style="3"/>
  </cols>
  <sheetData>
    <row r="1" spans="1:19" ht="15" x14ac:dyDescent="0.25">
      <c r="A1" s="2" t="s">
        <v>54</v>
      </c>
    </row>
    <row r="3" spans="1:19" x14ac:dyDescent="0.2">
      <c r="A3" s="3" t="s">
        <v>56</v>
      </c>
    </row>
    <row r="4" spans="1:19" x14ac:dyDescent="0.2">
      <c r="A4" s="3" t="s">
        <v>211</v>
      </c>
    </row>
    <row r="5" spans="1:19" x14ac:dyDescent="0.2">
      <c r="A5" s="3" t="s">
        <v>212</v>
      </c>
    </row>
    <row r="6" spans="1:19" x14ac:dyDescent="0.2">
      <c r="P6" s="25"/>
      <c r="Q6" s="25"/>
      <c r="R6" s="25"/>
      <c r="S6" s="25"/>
    </row>
    <row r="7" spans="1:19" x14ac:dyDescent="0.2">
      <c r="A7" s="7" t="s">
        <v>8</v>
      </c>
      <c r="G7" s="3" t="s">
        <v>59</v>
      </c>
      <c r="P7" s="25"/>
      <c r="Q7" s="25"/>
      <c r="R7" s="25"/>
      <c r="S7" s="25"/>
    </row>
    <row r="8" spans="1:19" x14ac:dyDescent="0.2">
      <c r="A8" s="11" t="s">
        <v>22</v>
      </c>
      <c r="B8" s="11" t="s">
        <v>20</v>
      </c>
      <c r="C8" s="11" t="s">
        <v>21</v>
      </c>
      <c r="E8" s="9" t="s">
        <v>55</v>
      </c>
      <c r="G8" s="9" t="s">
        <v>58</v>
      </c>
      <c r="P8" s="25"/>
      <c r="Q8" s="25"/>
      <c r="R8" s="25"/>
      <c r="S8" s="25"/>
    </row>
    <row r="9" spans="1:19" x14ac:dyDescent="0.2">
      <c r="A9" s="11">
        <v>1</v>
      </c>
      <c r="B9" s="30">
        <v>6.375</v>
      </c>
      <c r="C9" s="30">
        <v>7.25</v>
      </c>
      <c r="E9" s="12">
        <v>3</v>
      </c>
      <c r="G9" s="12">
        <v>0</v>
      </c>
      <c r="P9" s="26">
        <v>1</v>
      </c>
      <c r="Q9" s="27">
        <f>B9</f>
        <v>6.375</v>
      </c>
      <c r="R9" s="27">
        <f>C9</f>
        <v>7.25</v>
      </c>
      <c r="S9" s="26"/>
    </row>
    <row r="10" spans="1:19" x14ac:dyDescent="0.2">
      <c r="A10" s="15">
        <v>2</v>
      </c>
      <c r="B10" s="12">
        <v>-26.125</v>
      </c>
      <c r="C10" s="12">
        <v>7.25</v>
      </c>
      <c r="P10" s="26">
        <v>2</v>
      </c>
      <c r="Q10" s="27">
        <f t="shared" ref="Q10:Q28" si="0">IF($E$9&gt;=P10,B10,Q9)</f>
        <v>-26.125</v>
      </c>
      <c r="R10" s="27">
        <f t="shared" ref="R10:R28" si="1">IF($E$9&gt;=P10,C10,R9)</f>
        <v>7.25</v>
      </c>
      <c r="S10" s="27" t="str">
        <f>IF(OR(R10&lt;&gt;R9,Q10&lt;&gt;Q9),"Point 2","")</f>
        <v>Point 2</v>
      </c>
    </row>
    <row r="11" spans="1:19" x14ac:dyDescent="0.2">
      <c r="A11" s="15">
        <v>3</v>
      </c>
      <c r="B11" s="12">
        <v>-61.125</v>
      </c>
      <c r="C11" s="12">
        <v>1.125</v>
      </c>
      <c r="P11" s="26">
        <v>3</v>
      </c>
      <c r="Q11" s="27">
        <f t="shared" si="0"/>
        <v>-61.125</v>
      </c>
      <c r="R11" s="27">
        <f t="shared" si="1"/>
        <v>1.125</v>
      </c>
      <c r="S11" s="27" t="str">
        <f>IF(OR(R11&lt;&gt;R10,Q11&lt;&gt;Q10),"Point 3","")</f>
        <v>Point 3</v>
      </c>
    </row>
    <row r="12" spans="1:19" x14ac:dyDescent="0.2">
      <c r="A12" s="15"/>
      <c r="B12" s="15"/>
      <c r="C12" s="15"/>
      <c r="I12" s="24"/>
      <c r="P12" s="26">
        <v>4</v>
      </c>
      <c r="Q12" s="27">
        <f t="shared" si="0"/>
        <v>-61.125</v>
      </c>
      <c r="R12" s="27">
        <f t="shared" si="1"/>
        <v>1.125</v>
      </c>
      <c r="S12" s="27" t="str">
        <f>IF(OR(R12&lt;&gt;R11,Q12&lt;&gt;Q11),"Point 4","")</f>
        <v/>
      </c>
    </row>
    <row r="13" spans="1:19" x14ac:dyDescent="0.2">
      <c r="A13" s="15"/>
      <c r="B13" s="15"/>
      <c r="C13" s="15"/>
      <c r="I13" s="24"/>
      <c r="P13" s="26">
        <v>5</v>
      </c>
      <c r="Q13" s="27">
        <f t="shared" si="0"/>
        <v>-61.125</v>
      </c>
      <c r="R13" s="27">
        <f t="shared" si="1"/>
        <v>1.125</v>
      </c>
      <c r="S13" s="27" t="str">
        <f>IF(OR(R13&lt;&gt;R12,Q13&lt;&gt;Q12),"Point 5","")</f>
        <v/>
      </c>
    </row>
    <row r="14" spans="1:19" x14ac:dyDescent="0.2">
      <c r="A14" s="15"/>
      <c r="B14" s="15"/>
      <c r="C14" s="15"/>
      <c r="I14" s="24"/>
      <c r="P14" s="26">
        <v>6</v>
      </c>
      <c r="Q14" s="27">
        <f t="shared" si="0"/>
        <v>-61.125</v>
      </c>
      <c r="R14" s="27">
        <f t="shared" si="1"/>
        <v>1.125</v>
      </c>
      <c r="S14" s="27" t="str">
        <f>IF(OR(R14&lt;&gt;R13,Q14&lt;&gt;Q13),"Point 6","")</f>
        <v/>
      </c>
    </row>
    <row r="15" spans="1:19" x14ac:dyDescent="0.2">
      <c r="A15" s="15"/>
      <c r="B15" s="15"/>
      <c r="C15" s="15"/>
      <c r="I15" s="24"/>
      <c r="P15" s="26">
        <v>7</v>
      </c>
      <c r="Q15" s="27">
        <f t="shared" si="0"/>
        <v>-61.125</v>
      </c>
      <c r="R15" s="27">
        <f t="shared" si="1"/>
        <v>1.125</v>
      </c>
      <c r="S15" s="27" t="str">
        <f>IF(OR(R15&lt;&gt;R14,Q15&lt;&gt;Q14),"Point 7","")</f>
        <v/>
      </c>
    </row>
    <row r="16" spans="1:19" x14ac:dyDescent="0.2">
      <c r="A16" s="15"/>
      <c r="B16" s="15"/>
      <c r="C16" s="15"/>
      <c r="I16" s="24"/>
      <c r="P16" s="26">
        <v>8</v>
      </c>
      <c r="Q16" s="27">
        <f t="shared" si="0"/>
        <v>-61.125</v>
      </c>
      <c r="R16" s="27">
        <f t="shared" si="1"/>
        <v>1.125</v>
      </c>
      <c r="S16" s="27" t="str">
        <f>IF(OR(R16&lt;&gt;R15,Q16&lt;&gt;Q15),"Point 8","")</f>
        <v/>
      </c>
    </row>
    <row r="17" spans="1:19" x14ac:dyDescent="0.2">
      <c r="A17" s="15"/>
      <c r="B17" s="15"/>
      <c r="C17" s="15"/>
      <c r="I17" s="24"/>
      <c r="P17" s="26">
        <v>9</v>
      </c>
      <c r="Q17" s="27">
        <f t="shared" si="0"/>
        <v>-61.125</v>
      </c>
      <c r="R17" s="27">
        <f t="shared" si="1"/>
        <v>1.125</v>
      </c>
      <c r="S17" s="27" t="str">
        <f>IF(OR(R17&lt;&gt;R16,Q17&lt;&gt;Q16),"Point 9","")</f>
        <v/>
      </c>
    </row>
    <row r="18" spans="1:19" x14ac:dyDescent="0.2">
      <c r="A18" s="15"/>
      <c r="B18" s="15"/>
      <c r="C18" s="15"/>
      <c r="I18" s="24"/>
      <c r="P18" s="26">
        <v>10</v>
      </c>
      <c r="Q18" s="27">
        <f t="shared" si="0"/>
        <v>-61.125</v>
      </c>
      <c r="R18" s="27">
        <f t="shared" si="1"/>
        <v>1.125</v>
      </c>
      <c r="S18" s="27" t="str">
        <f>IF(OR(R18&lt;&gt;R17,Q18&lt;&gt;Q17),"Point 10","")</f>
        <v/>
      </c>
    </row>
    <row r="19" spans="1:19" x14ac:dyDescent="0.2">
      <c r="A19" s="15"/>
      <c r="B19" s="15"/>
      <c r="C19" s="15"/>
      <c r="I19" s="24"/>
      <c r="P19" s="26">
        <v>11</v>
      </c>
      <c r="Q19" s="27">
        <f t="shared" si="0"/>
        <v>-61.125</v>
      </c>
      <c r="R19" s="27">
        <f t="shared" si="1"/>
        <v>1.125</v>
      </c>
      <c r="S19" s="27" t="str">
        <f>IF(OR(R19&lt;&gt;R18,Q19&lt;&gt;Q18),"Point 11","")</f>
        <v/>
      </c>
    </row>
    <row r="20" spans="1:19" x14ac:dyDescent="0.2">
      <c r="A20" s="15"/>
      <c r="B20" s="15"/>
      <c r="C20" s="15"/>
      <c r="I20" s="24"/>
      <c r="P20" s="26">
        <v>12</v>
      </c>
      <c r="Q20" s="27">
        <f t="shared" si="0"/>
        <v>-61.125</v>
      </c>
      <c r="R20" s="27">
        <f t="shared" si="1"/>
        <v>1.125</v>
      </c>
      <c r="S20" s="27" t="str">
        <f>IF(OR(R20&lt;&gt;R19,Q20&lt;&gt;Q19),"Point 12","")</f>
        <v/>
      </c>
    </row>
    <row r="21" spans="1:19" x14ac:dyDescent="0.2">
      <c r="A21" s="15"/>
      <c r="B21" s="15"/>
      <c r="C21" s="15"/>
      <c r="I21" s="24"/>
      <c r="P21" s="26">
        <v>13</v>
      </c>
      <c r="Q21" s="27">
        <f t="shared" si="0"/>
        <v>-61.125</v>
      </c>
      <c r="R21" s="27">
        <f t="shared" si="1"/>
        <v>1.125</v>
      </c>
      <c r="S21" s="27" t="str">
        <f>IF(OR(R21&lt;&gt;R20,Q21&lt;&gt;Q20),"Point 13","")</f>
        <v/>
      </c>
    </row>
    <row r="22" spans="1:19" x14ac:dyDescent="0.2">
      <c r="A22" s="15"/>
      <c r="B22" s="15"/>
      <c r="C22" s="15"/>
      <c r="I22" s="24"/>
      <c r="P22" s="26">
        <v>14</v>
      </c>
      <c r="Q22" s="27">
        <f t="shared" si="0"/>
        <v>-61.125</v>
      </c>
      <c r="R22" s="27">
        <f t="shared" si="1"/>
        <v>1.125</v>
      </c>
      <c r="S22" s="27" t="str">
        <f>IF(OR(R22&lt;&gt;R21,Q22&lt;&gt;Q21),"Point 14","")</f>
        <v/>
      </c>
    </row>
    <row r="23" spans="1:19" x14ac:dyDescent="0.2">
      <c r="A23" s="15"/>
      <c r="B23" s="15"/>
      <c r="C23" s="15"/>
      <c r="I23" s="24"/>
      <c r="P23" s="26">
        <v>15</v>
      </c>
      <c r="Q23" s="27">
        <f t="shared" si="0"/>
        <v>-61.125</v>
      </c>
      <c r="R23" s="27">
        <f t="shared" si="1"/>
        <v>1.125</v>
      </c>
      <c r="S23" s="27" t="str">
        <f>IF(OR(R23&lt;&gt;R22,Q23&lt;&gt;Q22),"Point 15","")</f>
        <v/>
      </c>
    </row>
    <row r="24" spans="1:19" x14ac:dyDescent="0.2">
      <c r="A24" s="15"/>
      <c r="B24" s="15"/>
      <c r="C24" s="15"/>
      <c r="I24" s="24"/>
      <c r="P24" s="26">
        <v>16</v>
      </c>
      <c r="Q24" s="27">
        <f t="shared" si="0"/>
        <v>-61.125</v>
      </c>
      <c r="R24" s="27">
        <f t="shared" si="1"/>
        <v>1.125</v>
      </c>
      <c r="S24" s="27" t="str">
        <f>IF(OR(R24&lt;&gt;R23,Q24&lt;&gt;Q23),"Point 16","")</f>
        <v/>
      </c>
    </row>
    <row r="25" spans="1:19" x14ac:dyDescent="0.2">
      <c r="A25" s="15"/>
      <c r="B25" s="15"/>
      <c r="C25" s="15"/>
      <c r="P25" s="26">
        <v>17</v>
      </c>
      <c r="Q25" s="27">
        <f t="shared" si="0"/>
        <v>-61.125</v>
      </c>
      <c r="R25" s="27">
        <f t="shared" si="1"/>
        <v>1.125</v>
      </c>
      <c r="S25" s="27" t="str">
        <f>IF(OR(R25&lt;&gt;R24,Q25&lt;&gt;Q24),"Point 17","")</f>
        <v/>
      </c>
    </row>
    <row r="26" spans="1:19" x14ac:dyDescent="0.2">
      <c r="A26" s="15"/>
      <c r="B26" s="15"/>
      <c r="C26" s="15"/>
      <c r="P26" s="26">
        <v>18</v>
      </c>
      <c r="Q26" s="27">
        <f t="shared" si="0"/>
        <v>-61.125</v>
      </c>
      <c r="R26" s="27">
        <f t="shared" si="1"/>
        <v>1.125</v>
      </c>
      <c r="S26" s="27" t="str">
        <f>IF(OR(R26&lt;&gt;R25,Q26&lt;&gt;Q25),"Point 18","")</f>
        <v/>
      </c>
    </row>
    <row r="27" spans="1:19" x14ac:dyDescent="0.2">
      <c r="A27" s="15"/>
      <c r="B27" s="15"/>
      <c r="C27" s="15"/>
      <c r="P27" s="26">
        <v>19</v>
      </c>
      <c r="Q27" s="27">
        <f t="shared" si="0"/>
        <v>-61.125</v>
      </c>
      <c r="R27" s="27">
        <f t="shared" si="1"/>
        <v>1.125</v>
      </c>
      <c r="S27" s="27" t="str">
        <f>IF(OR(R27&lt;&gt;R26,Q27&lt;&gt;Q26),"Point 19","")</f>
        <v/>
      </c>
    </row>
    <row r="28" spans="1:19" x14ac:dyDescent="0.2">
      <c r="A28" s="15"/>
      <c r="B28" s="15"/>
      <c r="C28" s="15"/>
      <c r="P28" s="26">
        <v>20</v>
      </c>
      <c r="Q28" s="27">
        <f t="shared" si="0"/>
        <v>-61.125</v>
      </c>
      <c r="R28" s="27">
        <f t="shared" si="1"/>
        <v>1.125</v>
      </c>
      <c r="S28" s="27" t="str">
        <f>IF(OR(R28&lt;&gt;R27,Q28&lt;&gt;Q27),"Point 20","")</f>
        <v/>
      </c>
    </row>
    <row r="29" spans="1:19" x14ac:dyDescent="0.2">
      <c r="P29" s="26">
        <v>20</v>
      </c>
      <c r="Q29" s="27">
        <f>Q28</f>
        <v>-61.125</v>
      </c>
      <c r="R29" s="27">
        <f>-R28</f>
        <v>-1.125</v>
      </c>
      <c r="S29" s="26"/>
    </row>
    <row r="30" spans="1:19" x14ac:dyDescent="0.2">
      <c r="A30" s="7" t="s">
        <v>9</v>
      </c>
      <c r="C30" s="5" t="s">
        <v>20</v>
      </c>
      <c r="D30" s="5" t="s">
        <v>21</v>
      </c>
      <c r="P30" s="26">
        <v>19</v>
      </c>
      <c r="Q30" s="27">
        <f>Q27</f>
        <v>-61.125</v>
      </c>
      <c r="R30" s="27">
        <f>-R27</f>
        <v>-1.125</v>
      </c>
      <c r="S30" s="26"/>
    </row>
    <row r="31" spans="1:19" x14ac:dyDescent="0.2">
      <c r="A31" s="105" t="s">
        <v>87</v>
      </c>
      <c r="B31" s="106"/>
      <c r="C31" s="17">
        <v>0</v>
      </c>
      <c r="D31" s="17">
        <v>7.25</v>
      </c>
      <c r="E31" s="27">
        <f>-D31</f>
        <v>-7.25</v>
      </c>
      <c r="F31" s="31" t="s">
        <v>85</v>
      </c>
      <c r="G31" s="23"/>
      <c r="H31" s="17">
        <v>764.37499999999989</v>
      </c>
      <c r="J31" s="44"/>
      <c r="P31" s="26">
        <v>18</v>
      </c>
      <c r="Q31" s="27">
        <f>Q26</f>
        <v>-61.125</v>
      </c>
      <c r="R31" s="27">
        <f>-R26</f>
        <v>-1.125</v>
      </c>
      <c r="S31" s="26"/>
    </row>
    <row r="32" spans="1:19" x14ac:dyDescent="0.2">
      <c r="A32" s="107"/>
      <c r="B32" s="108"/>
      <c r="C32" s="17">
        <v>-16.5</v>
      </c>
      <c r="D32" s="17">
        <v>7.25</v>
      </c>
      <c r="E32" s="27">
        <f>-D32</f>
        <v>-7.25</v>
      </c>
      <c r="F32" s="31" t="s">
        <v>86</v>
      </c>
      <c r="G32" s="23"/>
      <c r="H32" s="17">
        <v>-21.181554919596621</v>
      </c>
      <c r="J32" s="44"/>
      <c r="P32" s="26">
        <v>17</v>
      </c>
      <c r="Q32" s="27">
        <f>Q25</f>
        <v>-61.125</v>
      </c>
      <c r="R32" s="27">
        <f>-R25</f>
        <v>-1.125</v>
      </c>
      <c r="S32" s="26"/>
    </row>
    <row r="33" spans="1:19" x14ac:dyDescent="0.2">
      <c r="A33" s="33" t="s">
        <v>89</v>
      </c>
      <c r="B33" s="34"/>
      <c r="C33" s="36">
        <v>239.25</v>
      </c>
      <c r="F33" s="31" t="s">
        <v>88</v>
      </c>
      <c r="G33" s="23"/>
      <c r="H33" s="17">
        <v>0</v>
      </c>
      <c r="J33" s="44"/>
      <c r="P33" s="26">
        <v>16</v>
      </c>
      <c r="Q33" s="27">
        <f>Q24</f>
        <v>-61.125</v>
      </c>
      <c r="R33" s="27">
        <f>-R24</f>
        <v>-1.125</v>
      </c>
      <c r="S33" s="26"/>
    </row>
    <row r="34" spans="1:19" x14ac:dyDescent="0.2">
      <c r="A34" s="32" t="s">
        <v>82</v>
      </c>
      <c r="B34" s="35"/>
      <c r="C34" s="17">
        <v>75</v>
      </c>
      <c r="P34" s="26">
        <v>15</v>
      </c>
      <c r="Q34" s="27">
        <f>Q23</f>
        <v>-61.125</v>
      </c>
      <c r="R34" s="27">
        <f>-R23</f>
        <v>-1.125</v>
      </c>
      <c r="S34" s="26"/>
    </row>
    <row r="35" spans="1:19" x14ac:dyDescent="0.2">
      <c r="A35" s="1"/>
      <c r="B35" s="15" t="s">
        <v>83</v>
      </c>
      <c r="C35" s="17">
        <v>9</v>
      </c>
      <c r="J35" s="1"/>
      <c r="K35" s="1"/>
      <c r="P35" s="26">
        <v>14</v>
      </c>
      <c r="Q35" s="27">
        <f>Q22</f>
        <v>-61.125</v>
      </c>
      <c r="R35" s="27">
        <f>-R22</f>
        <v>-1.125</v>
      </c>
      <c r="S35" s="26"/>
    </row>
    <row r="36" spans="1:19" x14ac:dyDescent="0.2">
      <c r="A36" s="1"/>
      <c r="B36" s="15" t="s">
        <v>84</v>
      </c>
      <c r="C36" s="17">
        <v>66</v>
      </c>
      <c r="J36" s="1"/>
      <c r="K36" s="1"/>
      <c r="P36" s="26">
        <v>13</v>
      </c>
      <c r="Q36" s="27">
        <f>Q21</f>
        <v>-61.125</v>
      </c>
      <c r="R36" s="27">
        <f>-R21</f>
        <v>-1.125</v>
      </c>
      <c r="S36" s="26"/>
    </row>
    <row r="37" spans="1:19" ht="14.25" x14ac:dyDescent="0.2">
      <c r="A37" s="31" t="s">
        <v>90</v>
      </c>
      <c r="B37" s="35"/>
      <c r="C37" s="17">
        <v>0.12276407736475829</v>
      </c>
      <c r="J37" s="75" t="b">
        <v>1</v>
      </c>
      <c r="K37" s="1"/>
      <c r="P37" s="26">
        <v>12</v>
      </c>
      <c r="Q37" s="27">
        <f>Q20</f>
        <v>-61.125</v>
      </c>
      <c r="R37" s="27">
        <f>-R20</f>
        <v>-1.125</v>
      </c>
      <c r="S37" s="26"/>
    </row>
    <row r="38" spans="1:19" x14ac:dyDescent="0.2">
      <c r="J38" s="1"/>
      <c r="K38" s="1"/>
      <c r="P38" s="26">
        <v>11</v>
      </c>
      <c r="Q38" s="27">
        <f>Q19</f>
        <v>-61.125</v>
      </c>
      <c r="R38" s="27">
        <f>-R19</f>
        <v>-1.125</v>
      </c>
      <c r="S38" s="26"/>
    </row>
    <row r="39" spans="1:19" x14ac:dyDescent="0.2">
      <c r="J39" s="1"/>
      <c r="K39" s="1"/>
      <c r="P39" s="26">
        <v>10</v>
      </c>
      <c r="Q39" s="27">
        <f>Q18</f>
        <v>-61.125</v>
      </c>
      <c r="R39" s="27">
        <f>-R18</f>
        <v>-1.125</v>
      </c>
      <c r="S39" s="26"/>
    </row>
    <row r="40" spans="1:19" x14ac:dyDescent="0.2">
      <c r="J40" s="1"/>
      <c r="K40" s="1"/>
      <c r="P40" s="26">
        <v>9</v>
      </c>
      <c r="Q40" s="27">
        <f>Q17</f>
        <v>-61.125</v>
      </c>
      <c r="R40" s="27">
        <f>-R17</f>
        <v>-1.125</v>
      </c>
      <c r="S40" s="26"/>
    </row>
    <row r="41" spans="1:19" x14ac:dyDescent="0.2">
      <c r="J41" s="1"/>
      <c r="K41" s="1"/>
      <c r="P41" s="26">
        <v>8</v>
      </c>
      <c r="Q41" s="27">
        <f>Q16</f>
        <v>-61.125</v>
      </c>
      <c r="R41" s="27">
        <f>-R16</f>
        <v>-1.125</v>
      </c>
      <c r="S41" s="26"/>
    </row>
    <row r="42" spans="1:19" x14ac:dyDescent="0.2">
      <c r="J42" s="1"/>
      <c r="K42" s="1"/>
      <c r="P42" s="26">
        <v>7</v>
      </c>
      <c r="Q42" s="27">
        <f>Q15</f>
        <v>-61.125</v>
      </c>
      <c r="R42" s="27">
        <f>-R15</f>
        <v>-1.125</v>
      </c>
      <c r="S42" s="26"/>
    </row>
    <row r="43" spans="1:19" x14ac:dyDescent="0.2">
      <c r="J43" s="1"/>
      <c r="K43" s="1"/>
      <c r="P43" s="26">
        <v>6</v>
      </c>
      <c r="Q43" s="27">
        <f>Q14</f>
        <v>-61.125</v>
      </c>
      <c r="R43" s="27">
        <f>-R14</f>
        <v>-1.125</v>
      </c>
      <c r="S43" s="26"/>
    </row>
    <row r="44" spans="1:19" x14ac:dyDescent="0.2">
      <c r="J44" s="1"/>
      <c r="K44" s="1"/>
      <c r="P44" s="26">
        <v>5</v>
      </c>
      <c r="Q44" s="27">
        <f>Q13</f>
        <v>-61.125</v>
      </c>
      <c r="R44" s="27">
        <f>-R13</f>
        <v>-1.125</v>
      </c>
      <c r="S44" s="26"/>
    </row>
    <row r="45" spans="1:19" x14ac:dyDescent="0.2">
      <c r="J45" s="1"/>
      <c r="K45" s="1"/>
      <c r="P45" s="26">
        <v>4</v>
      </c>
      <c r="Q45" s="27">
        <f>Q12</f>
        <v>-61.125</v>
      </c>
      <c r="R45" s="27">
        <f>-R12</f>
        <v>-1.125</v>
      </c>
      <c r="S45" s="26"/>
    </row>
    <row r="46" spans="1:19" x14ac:dyDescent="0.2">
      <c r="J46" s="1"/>
      <c r="K46" s="1"/>
      <c r="P46" s="26">
        <v>3</v>
      </c>
      <c r="Q46" s="27">
        <f>Q11</f>
        <v>-61.125</v>
      </c>
      <c r="R46" s="27">
        <f>-R11</f>
        <v>-1.125</v>
      </c>
      <c r="S46" s="26"/>
    </row>
    <row r="47" spans="1:19" x14ac:dyDescent="0.2">
      <c r="J47" s="1"/>
      <c r="K47" s="1"/>
      <c r="P47" s="26">
        <v>2</v>
      </c>
      <c r="Q47" s="27">
        <f>Q10</f>
        <v>-26.125</v>
      </c>
      <c r="R47" s="27">
        <f>-R10</f>
        <v>-7.25</v>
      </c>
      <c r="S47" s="26"/>
    </row>
    <row r="48" spans="1:19" x14ac:dyDescent="0.2">
      <c r="J48" s="1"/>
      <c r="K48" s="1"/>
      <c r="P48" s="26">
        <v>1</v>
      </c>
      <c r="Q48" s="27">
        <f>Q9</f>
        <v>6.375</v>
      </c>
      <c r="R48" s="27">
        <f>-R9</f>
        <v>-7.25</v>
      </c>
      <c r="S48" s="26"/>
    </row>
    <row r="49" spans="10:19" x14ac:dyDescent="0.2">
      <c r="J49" s="1"/>
      <c r="K49" s="1"/>
      <c r="P49" s="26">
        <v>1</v>
      </c>
      <c r="Q49" s="27">
        <f>Q9</f>
        <v>6.375</v>
      </c>
      <c r="R49" s="27">
        <f>R9</f>
        <v>7.25</v>
      </c>
      <c r="S49" s="26"/>
    </row>
    <row r="50" spans="10:19" x14ac:dyDescent="0.2">
      <c r="J50" s="1"/>
      <c r="K50" s="1"/>
    </row>
    <row r="51" spans="10:19" x14ac:dyDescent="0.2">
      <c r="J51" s="1"/>
      <c r="K51" s="1"/>
    </row>
    <row r="52" spans="10:19" x14ac:dyDescent="0.2">
      <c r="J52" s="1"/>
      <c r="K52" s="1"/>
    </row>
    <row r="53" spans="10:19" x14ac:dyDescent="0.2">
      <c r="J53" s="1"/>
      <c r="K53" s="1"/>
    </row>
    <row r="54" spans="10:19" x14ac:dyDescent="0.2">
      <c r="J54" s="1"/>
      <c r="K54" s="1"/>
    </row>
    <row r="55" spans="10:19" x14ac:dyDescent="0.2">
      <c r="J55" s="1"/>
      <c r="K55" s="1"/>
    </row>
    <row r="56" spans="10:19" x14ac:dyDescent="0.2">
      <c r="J56" s="1"/>
      <c r="K56" s="1"/>
    </row>
    <row r="57" spans="10:19" x14ac:dyDescent="0.2">
      <c r="J57" s="1"/>
      <c r="K57" s="1"/>
    </row>
    <row r="58" spans="10:19" x14ac:dyDescent="0.2">
      <c r="J58" s="1"/>
      <c r="K58" s="1"/>
    </row>
    <row r="59" spans="10:19" x14ac:dyDescent="0.2">
      <c r="J59" s="1"/>
      <c r="K59" s="1"/>
    </row>
    <row r="60" spans="10:19" x14ac:dyDescent="0.2">
      <c r="J60" s="1"/>
      <c r="K60" s="1"/>
    </row>
    <row r="61" spans="10:19" x14ac:dyDescent="0.2">
      <c r="J61" s="1"/>
      <c r="K61" s="1"/>
    </row>
    <row r="62" spans="10:19" x14ac:dyDescent="0.2">
      <c r="J62" s="1"/>
      <c r="K62" s="1"/>
    </row>
    <row r="63" spans="10:19" x14ac:dyDescent="0.2">
      <c r="J63" s="1"/>
      <c r="K63" s="1"/>
    </row>
    <row r="64" spans="10:19" x14ac:dyDescent="0.2">
      <c r="J64" s="1"/>
      <c r="K64" s="1"/>
    </row>
    <row r="65" spans="10:11" x14ac:dyDescent="0.2">
      <c r="J65" s="1"/>
      <c r="K65" s="1"/>
    </row>
    <row r="66" spans="10:11" x14ac:dyDescent="0.2">
      <c r="J66" s="1"/>
      <c r="K66" s="1"/>
    </row>
    <row r="67" spans="10:11" x14ac:dyDescent="0.2">
      <c r="J67" s="1"/>
      <c r="K67" s="1"/>
    </row>
    <row r="68" spans="10:11" x14ac:dyDescent="0.2">
      <c r="J68" s="1"/>
      <c r="K68" s="1"/>
    </row>
    <row r="69" spans="10:11" x14ac:dyDescent="0.2">
      <c r="J69" s="1"/>
      <c r="K69" s="1"/>
    </row>
    <row r="70" spans="10:11" x14ac:dyDescent="0.2">
      <c r="J70" s="1"/>
      <c r="K70" s="1"/>
    </row>
    <row r="71" spans="10:11" x14ac:dyDescent="0.2">
      <c r="J71" s="1"/>
      <c r="K71" s="1"/>
    </row>
    <row r="72" spans="10:11" x14ac:dyDescent="0.2">
      <c r="J72" s="1"/>
      <c r="K72" s="1"/>
    </row>
    <row r="73" spans="10:11" x14ac:dyDescent="0.2">
      <c r="J73" s="1"/>
      <c r="K73" s="1"/>
    </row>
    <row r="74" spans="10:11" x14ac:dyDescent="0.2">
      <c r="J74" s="1"/>
      <c r="K74" s="1"/>
    </row>
    <row r="75" spans="10:11" x14ac:dyDescent="0.2">
      <c r="J75" s="1"/>
      <c r="K75" s="1"/>
    </row>
    <row r="76" spans="10:11" x14ac:dyDescent="0.2">
      <c r="J76" s="1"/>
      <c r="K76" s="1"/>
    </row>
    <row r="77" spans="10:11" x14ac:dyDescent="0.2">
      <c r="J77" s="1"/>
      <c r="K77" s="1"/>
    </row>
    <row r="78" spans="10:11" x14ac:dyDescent="0.2">
      <c r="J78" s="1"/>
      <c r="K78" s="1"/>
    </row>
    <row r="79" spans="10:11" x14ac:dyDescent="0.2">
      <c r="J79" s="1"/>
      <c r="K79" s="1"/>
    </row>
    <row r="80" spans="10:11" x14ac:dyDescent="0.2">
      <c r="J80" s="1"/>
      <c r="K80" s="1"/>
    </row>
    <row r="81" spans="10:11" x14ac:dyDescent="0.2">
      <c r="J81" s="1"/>
      <c r="K81" s="1"/>
    </row>
    <row r="82" spans="10:11" x14ac:dyDescent="0.2">
      <c r="J82" s="1"/>
      <c r="K82" s="1"/>
    </row>
  </sheetData>
  <sheetProtection password="AE35" sheet="1" objects="1" scenarios="1" formatCells="0"/>
  <mergeCells count="1">
    <mergeCell ref="A31:B32"/>
  </mergeCells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 macro="[0]!spinner8">
                <anchor moveWithCells="1" sizeWithCells="1">
                  <from>
                    <xdr:col>4</xdr:col>
                    <xdr:colOff>0</xdr:colOff>
                    <xdr:row>6</xdr:row>
                    <xdr:rowOff>152400</xdr:rowOff>
                  </from>
                  <to>
                    <xdr:col>4</xdr:col>
                    <xdr:colOff>152400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alcfuse">
                <anchor moveWithCells="1" sizeWithCells="1">
                  <from>
                    <xdr:col>5</xdr:col>
                    <xdr:colOff>0</xdr:colOff>
                    <xdr:row>33</xdr:row>
                    <xdr:rowOff>152400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move_fuse">
                <anchor moveWithCells="1" sizeWithCells="1">
                  <from>
                    <xdr:col>7</xdr:col>
                    <xdr:colOff>47625</xdr:colOff>
                    <xdr:row>7</xdr:row>
                    <xdr:rowOff>0</xdr:rowOff>
                  </from>
                  <to>
                    <xdr:col>8</xdr:col>
                    <xdr:colOff>361950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Check Box 8">
              <controlPr defaultSize="0" autoFill="0" autoLine="0" autoPict="0">
                <anchor moveWithCells="1">
                  <from>
                    <xdr:col>4</xdr:col>
                    <xdr:colOff>561975</xdr:colOff>
                    <xdr:row>35</xdr:row>
                    <xdr:rowOff>152400</xdr:rowOff>
                  </from>
                  <to>
                    <xdr:col>8</xdr:col>
                    <xdr:colOff>523875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chart4default">
                <anchor moveWithCells="1" sizeWithCells="1">
                  <from>
                    <xdr:col>14</xdr:col>
                    <xdr:colOff>200025</xdr:colOff>
                    <xdr:row>28</xdr:row>
                    <xdr:rowOff>28575</xdr:rowOff>
                  </from>
                  <to>
                    <xdr:col>15</xdr:col>
                    <xdr:colOff>371475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chart4scale">
                <anchor moveWithCells="1" sizeWithCells="1">
                  <from>
                    <xdr:col>15</xdr:col>
                    <xdr:colOff>447675</xdr:colOff>
                    <xdr:row>28</xdr:row>
                    <xdr:rowOff>28575</xdr:rowOff>
                  </from>
                  <to>
                    <xdr:col>17</xdr:col>
                    <xdr:colOff>9525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27"/>
  <sheetViews>
    <sheetView showGridLines="0" tabSelected="1" workbookViewId="0">
      <selection activeCell="B16" sqref="B16"/>
    </sheetView>
  </sheetViews>
  <sheetFormatPr defaultColWidth="9.140625" defaultRowHeight="12.75" x14ac:dyDescent="0.2"/>
  <cols>
    <col min="1" max="1" width="17.85546875" style="3" customWidth="1"/>
    <col min="2" max="2" width="9.140625" style="3"/>
    <col min="3" max="3" width="13.28515625" style="3" customWidth="1"/>
    <col min="4" max="16384" width="9.140625" style="3"/>
  </cols>
  <sheetData>
    <row r="1" spans="1:7" x14ac:dyDescent="0.2">
      <c r="A1" s="38" t="s">
        <v>91</v>
      </c>
      <c r="C1" s="39"/>
      <c r="E1" s="40"/>
      <c r="G1" s="39"/>
    </row>
    <row r="2" spans="1:7" x14ac:dyDescent="0.2">
      <c r="A2" s="39" t="s">
        <v>92</v>
      </c>
      <c r="C2" s="39"/>
      <c r="D2" s="39"/>
      <c r="E2" s="39"/>
      <c r="G2" s="39"/>
    </row>
    <row r="3" spans="1:7" x14ac:dyDescent="0.2">
      <c r="A3" s="39"/>
      <c r="C3" s="39"/>
      <c r="D3" s="39"/>
      <c r="E3" s="39"/>
      <c r="G3" s="39"/>
    </row>
    <row r="4" spans="1:7" x14ac:dyDescent="0.2">
      <c r="A4" s="40" t="s">
        <v>93</v>
      </c>
      <c r="C4" s="39"/>
      <c r="D4" s="39"/>
      <c r="E4" s="39"/>
      <c r="F4" s="39"/>
      <c r="G4" s="39"/>
    </row>
    <row r="5" spans="1:7" x14ac:dyDescent="0.2">
      <c r="A5" s="39" t="s">
        <v>94</v>
      </c>
      <c r="C5" s="39"/>
      <c r="D5" s="39"/>
      <c r="E5" s="39"/>
      <c r="F5" s="39"/>
      <c r="G5" s="39"/>
    </row>
    <row r="6" spans="1:7" x14ac:dyDescent="0.2">
      <c r="A6" s="39" t="s">
        <v>210</v>
      </c>
    </row>
    <row r="7" spans="1:7" x14ac:dyDescent="0.2">
      <c r="A7" s="39" t="s">
        <v>95</v>
      </c>
    </row>
    <row r="9" spans="1:7" x14ac:dyDescent="0.2">
      <c r="C9" s="41"/>
      <c r="D9" s="109" t="s">
        <v>96</v>
      </c>
      <c r="E9" s="109"/>
      <c r="F9" s="109"/>
      <c r="G9" s="110"/>
    </row>
    <row r="10" spans="1:7" x14ac:dyDescent="0.2">
      <c r="A10" s="85" t="s">
        <v>97</v>
      </c>
      <c r="B10" s="86" t="s">
        <v>98</v>
      </c>
      <c r="C10" s="87" t="s">
        <v>99</v>
      </c>
      <c r="D10" s="88" t="s">
        <v>100</v>
      </c>
      <c r="E10" s="88" t="s">
        <v>101</v>
      </c>
      <c r="F10" s="88" t="s">
        <v>102</v>
      </c>
      <c r="G10" s="87" t="s">
        <v>103</v>
      </c>
    </row>
    <row r="11" spans="1:7" ht="15" customHeight="1" x14ac:dyDescent="0.2">
      <c r="A11" s="11" t="s">
        <v>0</v>
      </c>
      <c r="B11" s="89">
        <f xml:space="preserve"> 32.8*2</f>
        <v>65.599999999999994</v>
      </c>
      <c r="C11" s="16" t="b">
        <v>1</v>
      </c>
      <c r="D11" s="15"/>
      <c r="E11" s="15"/>
      <c r="F11" s="43">
        <f>IF(C11=TRUE,wing1_cx,D11)</f>
        <v>-8.25</v>
      </c>
      <c r="G11" s="43">
        <f>IF(C11=TRUE,0,E11)</f>
        <v>0</v>
      </c>
    </row>
    <row r="12" spans="1:7" ht="15" customHeight="1" x14ac:dyDescent="0.2">
      <c r="A12" s="11" t="s">
        <v>18</v>
      </c>
      <c r="B12" s="89">
        <v>0</v>
      </c>
      <c r="C12" s="16" t="b">
        <v>1</v>
      </c>
      <c r="D12" s="15"/>
      <c r="E12" s="15"/>
      <c r="F12" s="43">
        <f>IF(C12=TRUE,wing2_cx,D12)</f>
        <v>-5.5022549195207624</v>
      </c>
      <c r="G12" s="43">
        <f>IF(C12=TRUE,0,E12)</f>
        <v>0</v>
      </c>
    </row>
    <row r="13" spans="1:7" ht="15" customHeight="1" x14ac:dyDescent="0.2">
      <c r="A13" s="11" t="s">
        <v>19</v>
      </c>
      <c r="B13" s="89">
        <v>0</v>
      </c>
      <c r="C13" s="16" t="b">
        <v>1</v>
      </c>
      <c r="D13" s="15"/>
      <c r="E13" s="15"/>
      <c r="F13" s="43">
        <f>IF(C13=TRUE,wing3_cx,D13)</f>
        <v>-1.5043331728454499</v>
      </c>
      <c r="G13" s="43">
        <f>IF(C13=TRUE,0,E13)</f>
        <v>0</v>
      </c>
    </row>
    <row r="14" spans="1:7" ht="15" customHeight="1" x14ac:dyDescent="0.2">
      <c r="A14" s="11" t="s">
        <v>54</v>
      </c>
      <c r="B14" s="89">
        <v>21.5</v>
      </c>
      <c r="C14" s="16" t="b">
        <v>1</v>
      </c>
      <c r="D14" s="15"/>
      <c r="E14" s="15"/>
      <c r="F14" s="43">
        <f>IF(C14=TRUE,fuse_cx,D14)</f>
        <v>-21.181554919596621</v>
      </c>
      <c r="G14" s="43">
        <f>IF(C14=TRUE,fuse_cy,E14)</f>
        <v>0</v>
      </c>
    </row>
    <row r="15" spans="1:7" ht="15" customHeight="1" x14ac:dyDescent="0.2">
      <c r="A15" s="11" t="s">
        <v>34</v>
      </c>
      <c r="B15" s="89">
        <v>12.4</v>
      </c>
      <c r="C15" s="16" t="b">
        <v>1</v>
      </c>
      <c r="D15" s="15"/>
      <c r="E15" s="15"/>
      <c r="F15" s="43">
        <f>IF(C15=TRUE,hstab_cx,D15)</f>
        <v>-76.25</v>
      </c>
      <c r="G15" s="43">
        <f>IF(C15=TRUE,0,E15)</f>
        <v>0</v>
      </c>
    </row>
    <row r="16" spans="1:7" ht="15" customHeight="1" x14ac:dyDescent="0.2">
      <c r="A16" s="11" t="s">
        <v>35</v>
      </c>
      <c r="B16" s="89">
        <v>0</v>
      </c>
      <c r="C16" s="16" t="b">
        <v>1</v>
      </c>
      <c r="D16" s="15"/>
      <c r="E16" s="15"/>
      <c r="F16" s="43">
        <f>IF(C16=TRUE,canard_cx,D16)</f>
        <v>12.182291666666666</v>
      </c>
      <c r="G16" s="43">
        <f>IF(C16=TRUE,0,E16)</f>
        <v>0</v>
      </c>
    </row>
    <row r="17" spans="1:7" ht="15" customHeight="1" x14ac:dyDescent="0.2">
      <c r="A17" s="11" t="s">
        <v>178</v>
      </c>
      <c r="B17" s="89">
        <v>8.1999999999999993</v>
      </c>
      <c r="C17" s="16" t="b">
        <v>1</v>
      </c>
      <c r="D17" s="15"/>
      <c r="E17" s="15"/>
      <c r="F17" s="43">
        <f>IF(C17=TRUE,vstab_cx,D17)</f>
        <v>-76.5</v>
      </c>
      <c r="G17" s="43">
        <f>IF(C17=TRUE,0,E17)</f>
        <v>0</v>
      </c>
    </row>
    <row r="18" spans="1:7" ht="15" customHeight="1" x14ac:dyDescent="0.2">
      <c r="A18"/>
      <c r="B18"/>
      <c r="C18"/>
      <c r="D18"/>
      <c r="E18"/>
      <c r="F18"/>
      <c r="G18"/>
    </row>
    <row r="19" spans="1:7" x14ac:dyDescent="0.2">
      <c r="A19" s="39" t="s">
        <v>213</v>
      </c>
      <c r="G19" s="41"/>
    </row>
    <row r="20" spans="1:7" x14ac:dyDescent="0.2">
      <c r="A20" s="39" t="s">
        <v>214</v>
      </c>
      <c r="E20" s="24"/>
      <c r="G20" s="41"/>
    </row>
    <row r="21" spans="1:7" x14ac:dyDescent="0.2">
      <c r="A21" s="39" t="s">
        <v>215</v>
      </c>
      <c r="E21" s="24"/>
      <c r="F21" s="24"/>
      <c r="G21" s="24"/>
    </row>
    <row r="22" spans="1:7" x14ac:dyDescent="0.2">
      <c r="A22" s="24" t="s">
        <v>216</v>
      </c>
      <c r="C22" s="24"/>
      <c r="D22" s="24"/>
      <c r="E22" s="24"/>
      <c r="F22" s="24"/>
      <c r="G22" s="24"/>
    </row>
    <row r="23" spans="1:7" x14ac:dyDescent="0.2">
      <c r="A23" s="39"/>
      <c r="B23" s="24"/>
      <c r="C23" s="24"/>
      <c r="E23" s="42"/>
      <c r="G23" s="24"/>
    </row>
    <row r="24" spans="1:7" x14ac:dyDescent="0.2">
      <c r="A24" s="90" t="s">
        <v>104</v>
      </c>
      <c r="B24" s="91"/>
      <c r="C24" s="92">
        <v>12</v>
      </c>
      <c r="D24" s="93">
        <f>IF(wing1_w+wing2_w+wing3_w+fuse_w+hstab_w+canard_w+vstab_w&lt;&gt;0,wing1_w+wing2_w+wing3_w+fuse_w+hstab_w+canard_w+vstab_w,10)</f>
        <v>107.7</v>
      </c>
      <c r="E24" s="42"/>
      <c r="F24" s="24"/>
      <c r="G24" s="24"/>
    </row>
    <row r="25" spans="1:7" x14ac:dyDescent="0.2">
      <c r="A25" s="111" t="s">
        <v>105</v>
      </c>
      <c r="B25" s="94" t="s">
        <v>106</v>
      </c>
      <c r="C25" s="95">
        <v>-4</v>
      </c>
      <c r="D25" s="96">
        <f>IF(empty_weight&gt;0,(wing1_x*wing1_w+wing2_x*wing2_w+wing3_x*wing3_w+fuse_x*fuse_w+hstab_x*hstab_w+canard_x*canard_w+vstab_x*vstab_w)/empty_weight,0)</f>
        <v>-23.85704206844315</v>
      </c>
      <c r="E25" s="24"/>
      <c r="F25" s="24"/>
      <c r="G25" s="24"/>
    </row>
    <row r="26" spans="1:7" x14ac:dyDescent="0.2">
      <c r="A26" s="112"/>
      <c r="B26" s="97" t="s">
        <v>107</v>
      </c>
      <c r="C26" s="98">
        <v>0</v>
      </c>
      <c r="D26" s="99">
        <f>IF(empty_weight&gt;0,(wing1_y*wing1_w+wing2_y*wing2_w+wing3_y*wing3_w+fuse_y*fuse_w+hstab_y*hstab_w+canard_y*canard_w+vstab_y*vstab_w)/empty_weight,0)</f>
        <v>0</v>
      </c>
      <c r="E26" s="24"/>
      <c r="F26" s="24"/>
      <c r="G26" s="24"/>
    </row>
    <row r="27" spans="1:7" x14ac:dyDescent="0.2">
      <c r="F27" s="24"/>
      <c r="G27" s="24"/>
    </row>
  </sheetData>
  <sheetProtection algorithmName="SHA-512" hashValue="UKOZXN///9MMZmuRrJtr69QqYt47hCkmO/PqiL4cMfMNerfofl/5YzIHUTVUFia3+SqP1RZoq8xa277oL/mbVw==" saltValue="Pld5BQoM6qimUUe7a5RrfA==" spinCount="100000" sheet="1" objects="1" scenarios="1" formatCells="0"/>
  <mergeCells count="2">
    <mergeCell ref="D9:G9"/>
    <mergeCell ref="A25:A26"/>
  </mergeCells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locked="0" defaultSize="0" autoFill="0" autoLine="0" autoPict="0" macro="[0]!estimate1">
                <anchor moveWithCells="1">
                  <from>
                    <xdr:col>1</xdr:col>
                    <xdr:colOff>600075</xdr:colOff>
                    <xdr:row>9</xdr:row>
                    <xdr:rowOff>142875</xdr:rowOff>
                  </from>
                  <to>
                    <xdr:col>2</xdr:col>
                    <xdr:colOff>295275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locked="0" defaultSize="0" autoFill="0" autoLine="0" autoPict="0" macro="[0]!estimate2">
                <anchor moveWithCells="1">
                  <from>
                    <xdr:col>1</xdr:col>
                    <xdr:colOff>600075</xdr:colOff>
                    <xdr:row>10</xdr:row>
                    <xdr:rowOff>171450</xdr:rowOff>
                  </from>
                  <to>
                    <xdr:col>2</xdr:col>
                    <xdr:colOff>295275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locked="0" defaultSize="0" autoFill="0" autoLine="0" autoPict="0" macro="[0]!estimate3">
                <anchor moveWithCells="1">
                  <from>
                    <xdr:col>1</xdr:col>
                    <xdr:colOff>600075</xdr:colOff>
                    <xdr:row>11</xdr:row>
                    <xdr:rowOff>171450</xdr:rowOff>
                  </from>
                  <to>
                    <xdr:col>2</xdr:col>
                    <xdr:colOff>295275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Check Box 4">
              <controlPr locked="0" defaultSize="0" autoFill="0" autoLine="0" autoPict="0" macro="[0]!estimate4">
                <anchor moveWithCells="1">
                  <from>
                    <xdr:col>1</xdr:col>
                    <xdr:colOff>600075</xdr:colOff>
                    <xdr:row>12</xdr:row>
                    <xdr:rowOff>171450</xdr:rowOff>
                  </from>
                  <to>
                    <xdr:col>2</xdr:col>
                    <xdr:colOff>295275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Check Box 5">
              <controlPr locked="0" defaultSize="0" autoFill="0" autoLine="0" autoPict="0" macro="[0]!estimate5">
                <anchor moveWithCells="1">
                  <from>
                    <xdr:col>1</xdr:col>
                    <xdr:colOff>600075</xdr:colOff>
                    <xdr:row>13</xdr:row>
                    <xdr:rowOff>171450</xdr:rowOff>
                  </from>
                  <to>
                    <xdr:col>2</xdr:col>
                    <xdr:colOff>295275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Check Box 6">
              <controlPr locked="0" defaultSize="0" autoFill="0" autoLine="0" autoPict="0" macro="[0]!estimate6">
                <anchor moveWithCells="1">
                  <from>
                    <xdr:col>1</xdr:col>
                    <xdr:colOff>600075</xdr:colOff>
                    <xdr:row>14</xdr:row>
                    <xdr:rowOff>171450</xdr:rowOff>
                  </from>
                  <to>
                    <xdr:col>2</xdr:col>
                    <xdr:colOff>295275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Check Box 8">
              <controlPr locked="0" defaultSize="0" autoFill="0" autoLine="0" autoPict="0" macro="[0]!estimate7">
                <anchor moveWithCells="1">
                  <from>
                    <xdr:col>1</xdr:col>
                    <xdr:colOff>600075</xdr:colOff>
                    <xdr:row>15</xdr:row>
                    <xdr:rowOff>180975</xdr:rowOff>
                  </from>
                  <to>
                    <xdr:col>2</xdr:col>
                    <xdr:colOff>295275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K31"/>
  <sheetViews>
    <sheetView showGridLines="0" topLeftCell="A2" workbookViewId="0">
      <selection activeCell="D17" sqref="D17"/>
    </sheetView>
  </sheetViews>
  <sheetFormatPr defaultColWidth="9.140625" defaultRowHeight="12.75" x14ac:dyDescent="0.2"/>
  <cols>
    <col min="1" max="1" width="9.140625" style="3"/>
    <col min="2" max="2" width="20.7109375" style="3" customWidth="1"/>
    <col min="3" max="16384" width="9.140625" style="3"/>
  </cols>
  <sheetData>
    <row r="1" spans="1:11" x14ac:dyDescent="0.2">
      <c r="A1" s="113" t="s">
        <v>108</v>
      </c>
      <c r="B1" s="113"/>
      <c r="C1" s="113"/>
      <c r="D1" s="113"/>
      <c r="E1" s="113"/>
    </row>
    <row r="2" spans="1:11" x14ac:dyDescent="0.2">
      <c r="A2" s="7" t="s">
        <v>109</v>
      </c>
    </row>
    <row r="3" spans="1:11" x14ac:dyDescent="0.2">
      <c r="A3" s="3" t="s">
        <v>110</v>
      </c>
    </row>
    <row r="4" spans="1:11" x14ac:dyDescent="0.2">
      <c r="A4" s="3" t="s">
        <v>111</v>
      </c>
    </row>
    <row r="5" spans="1:11" x14ac:dyDescent="0.2">
      <c r="A5" s="3" t="s">
        <v>112</v>
      </c>
    </row>
    <row r="6" spans="1:11" x14ac:dyDescent="0.2">
      <c r="A6" s="3" t="s">
        <v>113</v>
      </c>
    </row>
    <row r="7" spans="1:11" x14ac:dyDescent="0.2">
      <c r="A7" s="3" t="s">
        <v>114</v>
      </c>
    </row>
    <row r="8" spans="1:11" x14ac:dyDescent="0.2">
      <c r="F8" s="44"/>
      <c r="G8" s="44"/>
      <c r="H8" s="44"/>
      <c r="I8" s="44"/>
      <c r="J8" s="44"/>
      <c r="K8" s="44"/>
    </row>
    <row r="9" spans="1:11" x14ac:dyDescent="0.2">
      <c r="A9" s="11" t="s">
        <v>115</v>
      </c>
      <c r="B9" s="15" t="s">
        <v>116</v>
      </c>
      <c r="C9" s="15" t="s">
        <v>98</v>
      </c>
      <c r="D9" s="15" t="s">
        <v>25</v>
      </c>
      <c r="E9" s="15" t="s">
        <v>117</v>
      </c>
      <c r="F9" s="45"/>
      <c r="G9" s="45"/>
      <c r="H9" s="45"/>
      <c r="I9" s="44"/>
      <c r="J9" s="44"/>
      <c r="K9" s="44"/>
    </row>
    <row r="10" spans="1:11" x14ac:dyDescent="0.2">
      <c r="A10" s="15">
        <v>1</v>
      </c>
      <c r="B10" s="103" t="s">
        <v>245</v>
      </c>
      <c r="C10" s="12">
        <v>6</v>
      </c>
      <c r="D10" s="12">
        <v>28</v>
      </c>
      <c r="E10" s="12">
        <v>0</v>
      </c>
      <c r="F10" s="37" t="str">
        <f>IF(C10&gt;0,B10,"")</f>
        <v>Propeller</v>
      </c>
      <c r="G10" s="37">
        <f t="shared" ref="G10:G29" si="0">IF(C10&gt;0,E10,0)</f>
        <v>0</v>
      </c>
      <c r="H10" s="37">
        <f t="shared" ref="H10:H29" si="1">IF(C10&gt;0,D10,0)</f>
        <v>28</v>
      </c>
      <c r="I10" s="25"/>
      <c r="J10" s="44"/>
      <c r="K10" s="44"/>
    </row>
    <row r="11" spans="1:11" x14ac:dyDescent="0.2">
      <c r="A11" s="15">
        <v>2</v>
      </c>
      <c r="B11" s="103" t="s">
        <v>118</v>
      </c>
      <c r="C11" s="12">
        <v>9</v>
      </c>
      <c r="D11" s="12">
        <v>25.875</v>
      </c>
      <c r="E11" s="12">
        <v>0</v>
      </c>
      <c r="F11" s="37" t="str">
        <f t="shared" ref="F11:F29" si="2">IF(C11&gt;0,B11,"")</f>
        <v>Motor</v>
      </c>
      <c r="G11" s="37">
        <f t="shared" si="0"/>
        <v>0</v>
      </c>
      <c r="H11" s="37">
        <f t="shared" si="1"/>
        <v>25.875</v>
      </c>
      <c r="I11" s="25"/>
      <c r="J11" s="44"/>
      <c r="K11" s="44"/>
    </row>
    <row r="12" spans="1:11" x14ac:dyDescent="0.2">
      <c r="A12" s="15">
        <v>3</v>
      </c>
      <c r="B12" s="103" t="s">
        <v>246</v>
      </c>
      <c r="C12" s="12">
        <v>34</v>
      </c>
      <c r="D12" s="12">
        <v>15</v>
      </c>
      <c r="E12" s="12">
        <v>0</v>
      </c>
      <c r="F12" s="37" t="str">
        <f t="shared" si="2"/>
        <v>Nose Cone</v>
      </c>
      <c r="G12" s="37">
        <f t="shared" si="0"/>
        <v>0</v>
      </c>
      <c r="H12" s="37">
        <f t="shared" si="1"/>
        <v>15</v>
      </c>
      <c r="I12" s="25"/>
      <c r="J12" s="44"/>
      <c r="K12" s="44"/>
    </row>
    <row r="13" spans="1:11" x14ac:dyDescent="0.2">
      <c r="A13" s="15">
        <v>4</v>
      </c>
      <c r="B13" s="103" t="s">
        <v>243</v>
      </c>
      <c r="C13" s="12">
        <v>20.8</v>
      </c>
      <c r="D13" s="12">
        <v>7.5</v>
      </c>
      <c r="E13" s="12">
        <v>0</v>
      </c>
      <c r="F13" s="37" t="str">
        <f t="shared" si="2"/>
        <v>Nose Gear</v>
      </c>
      <c r="G13" s="37">
        <f t="shared" si="0"/>
        <v>0</v>
      </c>
      <c r="H13" s="37">
        <f t="shared" si="1"/>
        <v>7.5</v>
      </c>
      <c r="I13" s="25"/>
      <c r="J13" s="44"/>
      <c r="K13" s="44"/>
    </row>
    <row r="14" spans="1:11" x14ac:dyDescent="0.2">
      <c r="A14" s="15">
        <v>5</v>
      </c>
      <c r="B14" s="103" t="s">
        <v>244</v>
      </c>
      <c r="C14" s="12">
        <v>18.899999999999999</v>
      </c>
      <c r="D14" s="12">
        <v>-27.125</v>
      </c>
      <c r="E14" s="12">
        <v>0</v>
      </c>
      <c r="F14" s="37" t="str">
        <f t="shared" si="2"/>
        <v>Tail Gear</v>
      </c>
      <c r="G14" s="37">
        <f t="shared" si="0"/>
        <v>0</v>
      </c>
      <c r="H14" s="37">
        <f t="shared" si="1"/>
        <v>-27.125</v>
      </c>
      <c r="I14" s="25"/>
      <c r="J14" s="44"/>
      <c r="K14" s="44"/>
    </row>
    <row r="15" spans="1:11" x14ac:dyDescent="0.2">
      <c r="A15" s="15">
        <v>6</v>
      </c>
      <c r="B15" s="103" t="s">
        <v>247</v>
      </c>
      <c r="C15" s="12">
        <v>4</v>
      </c>
      <c r="D15" s="12">
        <v>-37.125</v>
      </c>
      <c r="E15" s="12">
        <v>0</v>
      </c>
      <c r="F15" s="37" t="str">
        <f t="shared" si="2"/>
        <v>Fairing</v>
      </c>
      <c r="G15" s="37">
        <f t="shared" si="0"/>
        <v>0</v>
      </c>
      <c r="H15" s="37">
        <f t="shared" si="1"/>
        <v>-37.125</v>
      </c>
      <c r="I15" s="25"/>
      <c r="J15" s="44"/>
      <c r="K15" s="44"/>
    </row>
    <row r="16" spans="1:11" x14ac:dyDescent="0.2">
      <c r="A16" s="15">
        <v>7</v>
      </c>
      <c r="B16" s="12" t="s">
        <v>119</v>
      </c>
      <c r="C16" s="12">
        <v>0</v>
      </c>
      <c r="D16" s="12">
        <v>0</v>
      </c>
      <c r="E16" s="12">
        <v>0</v>
      </c>
      <c r="F16" s="37" t="str">
        <f t="shared" si="2"/>
        <v/>
      </c>
      <c r="G16" s="37">
        <f t="shared" si="0"/>
        <v>0</v>
      </c>
      <c r="H16" s="37">
        <f t="shared" si="1"/>
        <v>0</v>
      </c>
      <c r="I16" s="25"/>
      <c r="J16" s="44"/>
      <c r="K16" s="44"/>
    </row>
    <row r="17" spans="1:11" x14ac:dyDescent="0.2">
      <c r="A17" s="15">
        <v>8</v>
      </c>
      <c r="B17" s="12" t="s">
        <v>120</v>
      </c>
      <c r="C17" s="12">
        <v>0</v>
      </c>
      <c r="D17" s="12">
        <v>0</v>
      </c>
      <c r="E17" s="12">
        <v>0</v>
      </c>
      <c r="F17" s="37" t="str">
        <f t="shared" si="2"/>
        <v/>
      </c>
      <c r="G17" s="37">
        <f t="shared" si="0"/>
        <v>0</v>
      </c>
      <c r="H17" s="37">
        <f t="shared" si="1"/>
        <v>0</v>
      </c>
      <c r="I17" s="25"/>
      <c r="J17" s="44"/>
      <c r="K17" s="44"/>
    </row>
    <row r="18" spans="1:11" x14ac:dyDescent="0.2">
      <c r="A18" s="15">
        <v>9</v>
      </c>
      <c r="B18" s="12" t="s">
        <v>121</v>
      </c>
      <c r="C18" s="12">
        <v>0</v>
      </c>
      <c r="D18" s="12">
        <v>0</v>
      </c>
      <c r="E18" s="12">
        <v>0</v>
      </c>
      <c r="F18" s="37" t="str">
        <f t="shared" si="2"/>
        <v/>
      </c>
      <c r="G18" s="37">
        <f t="shared" si="0"/>
        <v>0</v>
      </c>
      <c r="H18" s="37">
        <f t="shared" si="1"/>
        <v>0</v>
      </c>
      <c r="I18" s="25"/>
      <c r="J18" s="44"/>
      <c r="K18" s="44"/>
    </row>
    <row r="19" spans="1:11" x14ac:dyDescent="0.2">
      <c r="A19" s="15">
        <v>10</v>
      </c>
      <c r="B19" s="12" t="s">
        <v>122</v>
      </c>
      <c r="C19" s="12">
        <v>0</v>
      </c>
      <c r="D19" s="12">
        <v>0</v>
      </c>
      <c r="E19" s="12">
        <v>0</v>
      </c>
      <c r="F19" s="37" t="str">
        <f t="shared" si="2"/>
        <v/>
      </c>
      <c r="G19" s="37">
        <f t="shared" si="0"/>
        <v>0</v>
      </c>
      <c r="H19" s="37">
        <f t="shared" si="1"/>
        <v>0</v>
      </c>
      <c r="I19" s="25"/>
      <c r="J19" s="44"/>
      <c r="K19" s="44"/>
    </row>
    <row r="20" spans="1:11" x14ac:dyDescent="0.2">
      <c r="A20" s="15">
        <v>11</v>
      </c>
      <c r="B20" s="12" t="s">
        <v>123</v>
      </c>
      <c r="C20" s="12">
        <v>0</v>
      </c>
      <c r="D20" s="12">
        <v>0</v>
      </c>
      <c r="E20" s="12">
        <v>0</v>
      </c>
      <c r="F20" s="37" t="str">
        <f t="shared" si="2"/>
        <v/>
      </c>
      <c r="G20" s="37">
        <f t="shared" si="0"/>
        <v>0</v>
      </c>
      <c r="H20" s="37">
        <f t="shared" si="1"/>
        <v>0</v>
      </c>
      <c r="I20" s="25"/>
      <c r="J20" s="44"/>
      <c r="K20" s="44"/>
    </row>
    <row r="21" spans="1:11" x14ac:dyDescent="0.2">
      <c r="A21" s="15">
        <v>12</v>
      </c>
      <c r="B21" s="12" t="s">
        <v>217</v>
      </c>
      <c r="C21" s="12">
        <v>0</v>
      </c>
      <c r="D21" s="12">
        <v>0</v>
      </c>
      <c r="E21" s="12">
        <v>0</v>
      </c>
      <c r="F21" s="37" t="str">
        <f t="shared" si="2"/>
        <v/>
      </c>
      <c r="G21" s="37">
        <f t="shared" si="0"/>
        <v>0</v>
      </c>
      <c r="H21" s="37">
        <f t="shared" si="1"/>
        <v>0</v>
      </c>
      <c r="I21" s="25"/>
      <c r="J21" s="44"/>
      <c r="K21" s="44"/>
    </row>
    <row r="22" spans="1:11" x14ac:dyDescent="0.2">
      <c r="A22" s="15">
        <v>13</v>
      </c>
      <c r="B22" s="103" t="s">
        <v>243</v>
      </c>
      <c r="C22" s="12">
        <v>0</v>
      </c>
      <c r="D22" s="12">
        <v>0</v>
      </c>
      <c r="E22" s="12">
        <v>0</v>
      </c>
      <c r="F22" s="37" t="str">
        <f t="shared" si="2"/>
        <v/>
      </c>
      <c r="G22" s="37">
        <f t="shared" si="0"/>
        <v>0</v>
      </c>
      <c r="H22" s="37">
        <f t="shared" si="1"/>
        <v>0</v>
      </c>
      <c r="I22" s="25"/>
      <c r="J22" s="44"/>
      <c r="K22" s="44"/>
    </row>
    <row r="23" spans="1:11" x14ac:dyDescent="0.2">
      <c r="A23" s="15">
        <v>14</v>
      </c>
      <c r="B23" s="103" t="s">
        <v>244</v>
      </c>
      <c r="C23" s="12">
        <v>0</v>
      </c>
      <c r="D23" s="12">
        <v>0</v>
      </c>
      <c r="E23" s="12">
        <v>0</v>
      </c>
      <c r="F23" s="37" t="str">
        <f t="shared" si="2"/>
        <v/>
      </c>
      <c r="G23" s="37">
        <f t="shared" si="0"/>
        <v>0</v>
      </c>
      <c r="H23" s="37">
        <f t="shared" si="1"/>
        <v>0</v>
      </c>
      <c r="I23" s="25"/>
      <c r="J23" s="44"/>
      <c r="K23" s="44"/>
    </row>
    <row r="24" spans="1:11" x14ac:dyDescent="0.2">
      <c r="A24" s="15">
        <v>15</v>
      </c>
      <c r="B24" s="12" t="s">
        <v>218</v>
      </c>
      <c r="C24" s="12">
        <v>0</v>
      </c>
      <c r="D24" s="12">
        <v>0</v>
      </c>
      <c r="E24" s="12">
        <v>0</v>
      </c>
      <c r="F24" s="37" t="str">
        <f t="shared" si="2"/>
        <v/>
      </c>
      <c r="G24" s="37">
        <f t="shared" si="0"/>
        <v>0</v>
      </c>
      <c r="H24" s="37">
        <f t="shared" si="1"/>
        <v>0</v>
      </c>
      <c r="I24" s="25"/>
      <c r="J24" s="44"/>
      <c r="K24" s="44"/>
    </row>
    <row r="25" spans="1:11" x14ac:dyDescent="0.2">
      <c r="A25" s="15">
        <v>16</v>
      </c>
      <c r="B25" s="12" t="s">
        <v>124</v>
      </c>
      <c r="C25" s="12">
        <v>0</v>
      </c>
      <c r="D25" s="12">
        <v>0</v>
      </c>
      <c r="E25" s="12">
        <v>0</v>
      </c>
      <c r="F25" s="37" t="str">
        <f t="shared" si="2"/>
        <v/>
      </c>
      <c r="G25" s="37">
        <f t="shared" si="0"/>
        <v>0</v>
      </c>
      <c r="H25" s="37">
        <f t="shared" si="1"/>
        <v>0</v>
      </c>
      <c r="I25" s="25"/>
      <c r="J25" s="44"/>
      <c r="K25" s="44"/>
    </row>
    <row r="26" spans="1:11" x14ac:dyDescent="0.2">
      <c r="A26" s="15">
        <v>17</v>
      </c>
      <c r="B26" s="12" t="s">
        <v>125</v>
      </c>
      <c r="C26" s="12">
        <v>0</v>
      </c>
      <c r="D26" s="12">
        <v>0</v>
      </c>
      <c r="E26" s="12">
        <v>0</v>
      </c>
      <c r="F26" s="37" t="str">
        <f t="shared" si="2"/>
        <v/>
      </c>
      <c r="G26" s="37">
        <f t="shared" si="0"/>
        <v>0</v>
      </c>
      <c r="H26" s="37">
        <f t="shared" si="1"/>
        <v>0</v>
      </c>
      <c r="I26" s="25"/>
      <c r="J26" s="44"/>
      <c r="K26" s="44"/>
    </row>
    <row r="27" spans="1:11" x14ac:dyDescent="0.2">
      <c r="A27" s="15">
        <v>18</v>
      </c>
      <c r="B27" s="12" t="s">
        <v>126</v>
      </c>
      <c r="C27" s="12">
        <v>0</v>
      </c>
      <c r="D27" s="12">
        <v>0</v>
      </c>
      <c r="E27" s="12">
        <v>0</v>
      </c>
      <c r="F27" s="37" t="str">
        <f t="shared" si="2"/>
        <v/>
      </c>
      <c r="G27" s="37">
        <f t="shared" si="0"/>
        <v>0</v>
      </c>
      <c r="H27" s="37">
        <f t="shared" si="1"/>
        <v>0</v>
      </c>
      <c r="I27" s="25"/>
      <c r="J27" s="44"/>
      <c r="K27" s="44"/>
    </row>
    <row r="28" spans="1:11" x14ac:dyDescent="0.2">
      <c r="A28" s="15">
        <v>19</v>
      </c>
      <c r="B28" s="12" t="s">
        <v>127</v>
      </c>
      <c r="C28" s="12">
        <v>0</v>
      </c>
      <c r="D28" s="12">
        <v>0</v>
      </c>
      <c r="E28" s="12">
        <v>0</v>
      </c>
      <c r="F28" s="37" t="str">
        <f t="shared" si="2"/>
        <v/>
      </c>
      <c r="G28" s="37">
        <f t="shared" si="0"/>
        <v>0</v>
      </c>
      <c r="H28" s="37">
        <f t="shared" si="1"/>
        <v>0</v>
      </c>
      <c r="I28" s="25"/>
      <c r="J28" s="44"/>
      <c r="K28" s="44"/>
    </row>
    <row r="29" spans="1:11" x14ac:dyDescent="0.2">
      <c r="A29" s="15">
        <v>20</v>
      </c>
      <c r="B29" s="12" t="s">
        <v>128</v>
      </c>
      <c r="C29" s="12">
        <v>0</v>
      </c>
      <c r="D29" s="12">
        <v>0</v>
      </c>
      <c r="E29" s="12">
        <v>0</v>
      </c>
      <c r="F29" s="37" t="str">
        <f t="shared" si="2"/>
        <v/>
      </c>
      <c r="G29" s="37">
        <f t="shared" si="0"/>
        <v>0</v>
      </c>
      <c r="H29" s="37">
        <f t="shared" si="1"/>
        <v>0</v>
      </c>
      <c r="I29" s="25"/>
      <c r="J29" s="44"/>
      <c r="K29" s="44"/>
    </row>
    <row r="30" spans="1:11" x14ac:dyDescent="0.2">
      <c r="A30" s="81" t="s">
        <v>129</v>
      </c>
      <c r="B30" s="11"/>
      <c r="C30" s="63">
        <f>SUM(C10:C29)</f>
        <v>92.699999999999989</v>
      </c>
      <c r="D30" s="63">
        <f>IF(point_weight&gt;0,SUM(C10*D10,C11*D11,C12*D12,C13*D13,C14*D14,C15*D15,C16*D16,C17*D17,C18*D18,C19*D19,C20*D20,C21*D21,C22*D22,C23*D23,C24*D24,C25*D25,C26*D26,C27*D27,C28*D28,C29*D29)/point_weight,0)</f>
        <v>4.376618122977348</v>
      </c>
      <c r="E30" s="63">
        <f>IF(point_weight&gt;0,SUM(C10*E10,C11*E11,C12*E12,C13*E13,C14*E14,C15*E15,C16*E16,C17*E17,C18*E18,C19*E19,C20*E20,C21*E21,C22*E22,C23*E23,C24*E24,C25*E25,C26*E26,C27*E27,C28*E28,C29*E29)/point_weight,0)</f>
        <v>0</v>
      </c>
      <c r="F30" s="44"/>
      <c r="G30" s="44"/>
      <c r="H30" s="44"/>
      <c r="I30" s="44"/>
      <c r="J30" s="44"/>
      <c r="K30" s="44"/>
    </row>
    <row r="31" spans="1:11" x14ac:dyDescent="0.2">
      <c r="F31" s="44"/>
      <c r="G31" s="44"/>
      <c r="H31" s="44"/>
      <c r="I31" s="44"/>
      <c r="J31" s="44"/>
      <c r="K31" s="44"/>
    </row>
  </sheetData>
  <sheetProtection password="AE35" sheet="1" objects="1" scenarios="1"/>
  <mergeCells count="1">
    <mergeCell ref="A1:E1"/>
  </mergeCells>
  <phoneticPr fontId="3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Q41"/>
  <sheetViews>
    <sheetView showGridLines="0" workbookViewId="0">
      <selection activeCell="Q2" sqref="Q2"/>
    </sheetView>
  </sheetViews>
  <sheetFormatPr defaultColWidth="9.140625" defaultRowHeight="12.75" x14ac:dyDescent="0.2"/>
  <cols>
    <col min="1" max="2" width="9.140625" style="3"/>
    <col min="3" max="3" width="9.42578125" style="3" customWidth="1"/>
    <col min="4" max="16384" width="9.140625" style="3"/>
  </cols>
  <sheetData>
    <row r="1" spans="1:16" ht="15" x14ac:dyDescent="0.25">
      <c r="A1" s="2" t="s">
        <v>77</v>
      </c>
    </row>
    <row r="2" spans="1:16" x14ac:dyDescent="0.2">
      <c r="I2" s="25"/>
      <c r="J2" s="25"/>
      <c r="K2" s="25"/>
      <c r="L2" s="25"/>
    </row>
    <row r="3" spans="1:16" x14ac:dyDescent="0.2">
      <c r="A3" s="38" t="s">
        <v>158</v>
      </c>
      <c r="E3" s="38" t="s">
        <v>184</v>
      </c>
      <c r="F3" s="46"/>
      <c r="J3" s="38" t="s">
        <v>205</v>
      </c>
      <c r="L3" s="25"/>
      <c r="N3" s="38" t="s">
        <v>240</v>
      </c>
    </row>
    <row r="4" spans="1:16" ht="12.75" customHeight="1" x14ac:dyDescent="0.2">
      <c r="A4" s="47" t="s">
        <v>78</v>
      </c>
      <c r="B4" s="34"/>
      <c r="C4" s="63">
        <f>(empty_x*empty_weight+point_x*point_weight)/(empty_weight+point_weight)</f>
        <v>-10.796860931992653</v>
      </c>
      <c r="E4" s="138" t="s">
        <v>198</v>
      </c>
      <c r="F4" s="139"/>
      <c r="G4" s="48" t="s">
        <v>167</v>
      </c>
      <c r="H4" s="49" t="s">
        <v>185</v>
      </c>
      <c r="J4" s="129" t="s">
        <v>206</v>
      </c>
      <c r="K4" s="130"/>
      <c r="L4" s="131"/>
      <c r="M4" s="50"/>
      <c r="N4" s="120" t="s">
        <v>241</v>
      </c>
      <c r="O4" s="121"/>
      <c r="P4" s="122"/>
    </row>
    <row r="5" spans="1:16" x14ac:dyDescent="0.2">
      <c r="A5" s="31" t="s">
        <v>79</v>
      </c>
      <c r="B5" s="23"/>
      <c r="C5" s="63">
        <f>(empty_y*empty_weight+point_y*point_weight)/(empty_weight+point_weight)</f>
        <v>0</v>
      </c>
      <c r="E5" s="140"/>
      <c r="F5" s="141"/>
      <c r="G5" s="51"/>
      <c r="H5" s="51"/>
      <c r="J5" s="132"/>
      <c r="K5" s="133"/>
      <c r="L5" s="134"/>
      <c r="M5" s="50"/>
      <c r="N5" s="123"/>
      <c r="O5" s="124"/>
      <c r="P5" s="125"/>
    </row>
    <row r="6" spans="1:16" x14ac:dyDescent="0.2">
      <c r="A6" s="52" t="s">
        <v>143</v>
      </c>
      <c r="B6" s="53"/>
      <c r="C6" s="64">
        <f>(CLaw1*_xac1+CLaw2*_xac2+CLaw3*_xac3+CLah*(1-dedah)*nh*hstab_ac*hstab_area/wing_area+CLav*(1-dedav)*nv*vstab_ac*vtail_harea/wing_area+CLac*canard_ac*canard_area/wing_area+Cmaf*ref_MAC)/(CLaw1+CLaw2+CLaw3+CLah*(1-dedah)*nh*hstab_area/wing_area+CLav*(1-dedav)*nv*vtail_harea/wing_area+CLac*canard_area/wing_area)</f>
        <v>-10.979183222256475</v>
      </c>
      <c r="E6" s="142"/>
      <c r="F6" s="143"/>
      <c r="G6" s="28"/>
      <c r="H6" s="28"/>
      <c r="J6" s="135"/>
      <c r="K6" s="136"/>
      <c r="L6" s="137"/>
      <c r="M6" s="39"/>
      <c r="N6" s="126"/>
      <c r="O6" s="127"/>
      <c r="P6" s="128"/>
    </row>
    <row r="7" spans="1:16" x14ac:dyDescent="0.2">
      <c r="A7" s="31" t="s">
        <v>183</v>
      </c>
      <c r="B7" s="23"/>
      <c r="C7" s="65">
        <f>(cgx-C6)/ref_MAC</f>
        <v>1.1049835773565022E-2</v>
      </c>
      <c r="E7" s="144" t="s">
        <v>187</v>
      </c>
      <c r="F7" s="145"/>
      <c r="G7" s="145"/>
      <c r="H7" s="146"/>
      <c r="J7" s="47"/>
      <c r="K7" s="70"/>
      <c r="L7" s="71"/>
      <c r="M7" s="39"/>
      <c r="N7" s="52"/>
      <c r="O7" s="6"/>
      <c r="P7" s="53"/>
    </row>
    <row r="8" spans="1:16" x14ac:dyDescent="0.2">
      <c r="A8" s="31" t="s">
        <v>80</v>
      </c>
      <c r="B8" s="23"/>
      <c r="C8" s="63">
        <f>empty_weight+point_weight</f>
        <v>200.39999999999998</v>
      </c>
      <c r="E8" s="116">
        <v>1.0051410658307209</v>
      </c>
      <c r="F8" s="117"/>
      <c r="G8" s="114" t="s">
        <v>186</v>
      </c>
      <c r="H8" s="54"/>
      <c r="J8" s="52"/>
      <c r="K8" s="6"/>
      <c r="L8" s="72"/>
      <c r="M8" s="50"/>
      <c r="N8" s="52"/>
      <c r="O8" s="6"/>
      <c r="P8" s="53"/>
    </row>
    <row r="9" spans="1:16" ht="14.25" x14ac:dyDescent="0.2">
      <c r="A9" s="55" t="s">
        <v>144</v>
      </c>
      <c r="B9" s="56"/>
      <c r="C9" s="63">
        <f>Cmaw1+Cmaw2+Cmaw3+Cmah+Cmav+Cmaf+Cmac</f>
        <v>-5.9422670812513803E-2</v>
      </c>
      <c r="E9" s="118"/>
      <c r="F9" s="119"/>
      <c r="G9" s="115"/>
      <c r="H9" s="57"/>
      <c r="J9" s="55"/>
      <c r="K9" s="73"/>
      <c r="L9" s="74"/>
      <c r="M9" s="50"/>
      <c r="N9" s="55"/>
      <c r="O9" s="46"/>
      <c r="P9" s="56"/>
    </row>
    <row r="10" spans="1:16" x14ac:dyDescent="0.2">
      <c r="I10" s="25"/>
      <c r="J10" s="25"/>
      <c r="K10" s="25"/>
      <c r="L10" s="25"/>
    </row>
    <row r="11" spans="1:16" x14ac:dyDescent="0.2">
      <c r="A11" s="38" t="s">
        <v>81</v>
      </c>
    </row>
    <row r="12" spans="1:16" x14ac:dyDescent="0.2">
      <c r="A12" s="38" t="s">
        <v>132</v>
      </c>
      <c r="E12" s="38" t="s">
        <v>0</v>
      </c>
      <c r="I12" s="38" t="s">
        <v>18</v>
      </c>
      <c r="M12" s="38" t="s">
        <v>19</v>
      </c>
    </row>
    <row r="13" spans="1:16" x14ac:dyDescent="0.2">
      <c r="A13" s="31" t="s">
        <v>131</v>
      </c>
      <c r="B13" s="23"/>
      <c r="C13" s="66" t="s">
        <v>62</v>
      </c>
      <c r="E13" s="47" t="s">
        <v>133</v>
      </c>
      <c r="F13" s="34"/>
      <c r="G13" s="63">
        <f>wing1_area</f>
        <v>1794.375</v>
      </c>
      <c r="I13" s="47" t="s">
        <v>133</v>
      </c>
      <c r="J13" s="34"/>
      <c r="K13" s="63">
        <f>IF(OR('Getting Started'!G4=2,'Getting Started'!G4=3),wing2_area,0)</f>
        <v>0</v>
      </c>
      <c r="L13" s="6"/>
      <c r="M13" s="47" t="s">
        <v>133</v>
      </c>
      <c r="N13" s="34"/>
      <c r="O13" s="63">
        <f>IF('Getting Started'!G4=3,wing3_area,0)</f>
        <v>0</v>
      </c>
    </row>
    <row r="14" spans="1:16" x14ac:dyDescent="0.2">
      <c r="A14" s="31" t="s">
        <v>133</v>
      </c>
      <c r="B14" s="23"/>
      <c r="C14" s="63">
        <f>wing1_area</f>
        <v>1794.375</v>
      </c>
      <c r="E14" s="31" t="s">
        <v>135</v>
      </c>
      <c r="F14" s="23"/>
      <c r="G14" s="63">
        <f>wing1_span</f>
        <v>123.25</v>
      </c>
      <c r="I14" s="31" t="s">
        <v>135</v>
      </c>
      <c r="J14" s="23"/>
      <c r="K14" s="63">
        <f>IF(OR('Getting Started'!G4=2,'Getting Started'!G4=3),wing2_span,0)</f>
        <v>0</v>
      </c>
      <c r="M14" s="31" t="s">
        <v>135</v>
      </c>
      <c r="N14" s="23"/>
      <c r="O14" s="63">
        <f>IF('Getting Started'!G4=3,wing3_span,0)</f>
        <v>0</v>
      </c>
    </row>
    <row r="15" spans="1:16" x14ac:dyDescent="0.2">
      <c r="A15" s="52" t="s">
        <v>134</v>
      </c>
      <c r="B15" s="53"/>
      <c r="C15" s="63">
        <f>wing1_span</f>
        <v>123.25</v>
      </c>
      <c r="E15" s="52" t="s">
        <v>136</v>
      </c>
      <c r="F15" s="53"/>
      <c r="G15" s="63">
        <f>wing1_mac</f>
        <v>16.5</v>
      </c>
      <c r="I15" s="52" t="s">
        <v>136</v>
      </c>
      <c r="J15" s="53"/>
      <c r="K15" s="63">
        <f>IF(OR('Getting Started'!G4=2,'Getting Started'!G4=3),wing2_mac,0)</f>
        <v>0</v>
      </c>
      <c r="M15" s="52" t="s">
        <v>136</v>
      </c>
      <c r="N15" s="53"/>
      <c r="O15" s="63">
        <f>IF('Getting Started'!G4=3,wing3_mac,0)</f>
        <v>0</v>
      </c>
    </row>
    <row r="16" spans="1:16" x14ac:dyDescent="0.2">
      <c r="A16" s="31" t="s">
        <v>175</v>
      </c>
      <c r="B16" s="23"/>
      <c r="C16" s="63">
        <f>wing1_mac</f>
        <v>16.5</v>
      </c>
      <c r="E16" s="31" t="s">
        <v>137</v>
      </c>
      <c r="F16" s="23"/>
      <c r="G16" s="63">
        <f>wing1_acx</f>
        <v>-4.125</v>
      </c>
      <c r="I16" s="31" t="s">
        <v>137</v>
      </c>
      <c r="J16" s="23"/>
      <c r="K16" s="63">
        <f>IF(OR('Getting Started'!G4=2,'Getting Started'!G4=3),wing2_acx,0)</f>
        <v>0</v>
      </c>
      <c r="M16" s="31" t="s">
        <v>137</v>
      </c>
      <c r="N16" s="23"/>
      <c r="O16" s="63">
        <f>IF('Getting Started'!G4=3,wing3_acx,0)</f>
        <v>0</v>
      </c>
    </row>
    <row r="17" spans="1:17" x14ac:dyDescent="0.2">
      <c r="A17" s="31" t="s">
        <v>137</v>
      </c>
      <c r="B17" s="23"/>
      <c r="C17" s="63">
        <f>wing1_acx</f>
        <v>-4.125</v>
      </c>
      <c r="E17" s="31" t="s">
        <v>139</v>
      </c>
      <c r="F17" s="23"/>
      <c r="G17" s="63">
        <f>wing1_ar</f>
        <v>7.4696969696969697</v>
      </c>
      <c r="I17" s="31" t="s">
        <v>139</v>
      </c>
      <c r="J17" s="23"/>
      <c r="K17" s="63">
        <f>IF(OR('Getting Started'!G4=2,'Getting Started'!G4=3),wing2_ar,0)</f>
        <v>0</v>
      </c>
      <c r="M17" s="31" t="s">
        <v>139</v>
      </c>
      <c r="N17" s="23"/>
      <c r="O17" s="63">
        <f>IF('Getting Started'!G4=3,wing3_ar,0)</f>
        <v>0</v>
      </c>
    </row>
    <row r="18" spans="1:17" ht="14.25" x14ac:dyDescent="0.2">
      <c r="A18" s="52" t="s">
        <v>138</v>
      </c>
      <c r="B18" s="53"/>
      <c r="C18" s="63">
        <v>0</v>
      </c>
      <c r="E18" s="55" t="s">
        <v>140</v>
      </c>
      <c r="F18" s="56"/>
      <c r="G18" s="63">
        <f>wing1_liftslope</f>
        <v>4.822192490016298</v>
      </c>
      <c r="I18" s="55" t="s">
        <v>140</v>
      </c>
      <c r="J18" s="56"/>
      <c r="K18" s="63">
        <f>IF(OR('Getting Started'!G4=2,'Getting Started'!G4=3),wing2_liftslope,0)</f>
        <v>0</v>
      </c>
      <c r="M18" s="55" t="s">
        <v>140</v>
      </c>
      <c r="N18" s="56"/>
      <c r="O18" s="63">
        <f>IF('Getting Started'!G4=3,wing3_liftslope,0)</f>
        <v>0</v>
      </c>
    </row>
    <row r="19" spans="1:17" ht="14.25" x14ac:dyDescent="0.2">
      <c r="A19" s="31" t="s">
        <v>176</v>
      </c>
      <c r="B19" s="23"/>
      <c r="C19" s="63">
        <f>wing1_ar</f>
        <v>7.4696969696969697</v>
      </c>
      <c r="E19" s="31" t="s">
        <v>174</v>
      </c>
      <c r="F19" s="23"/>
      <c r="G19" s="67">
        <f>CLaw1*(_xac1-cgx)/ref_MAC</f>
        <v>1.9498786473144307</v>
      </c>
      <c r="I19" s="31" t="s">
        <v>174</v>
      </c>
      <c r="J19" s="23"/>
      <c r="K19" s="67">
        <f>CLaw2*(_xac2-cgx)/ref_MAC</f>
        <v>0</v>
      </c>
      <c r="M19" s="31" t="s">
        <v>174</v>
      </c>
      <c r="N19" s="23"/>
      <c r="O19" s="67">
        <f>CLaw3*(_xac3-cgx)/ref_MAC</f>
        <v>0</v>
      </c>
    </row>
    <row r="20" spans="1:17" x14ac:dyDescent="0.2">
      <c r="A20" s="52" t="s">
        <v>177</v>
      </c>
      <c r="B20" s="53"/>
      <c r="C20" s="63">
        <f>wing1_lam</f>
        <v>1</v>
      </c>
    </row>
    <row r="21" spans="1:17" x14ac:dyDescent="0.2">
      <c r="A21" s="31" t="s">
        <v>141</v>
      </c>
      <c r="B21" s="23"/>
      <c r="C21" s="63">
        <f>wing1_rte</f>
        <v>-16.5</v>
      </c>
    </row>
    <row r="22" spans="1:17" x14ac:dyDescent="0.2">
      <c r="A22" s="58" t="s">
        <v>142</v>
      </c>
      <c r="B22" s="56"/>
      <c r="C22" s="63">
        <f>wing1_quartersweep</f>
        <v>0</v>
      </c>
    </row>
    <row r="24" spans="1:17" x14ac:dyDescent="0.2">
      <c r="A24" s="38" t="s">
        <v>145</v>
      </c>
      <c r="E24" s="38" t="s">
        <v>155</v>
      </c>
      <c r="I24" s="59" t="s">
        <v>157</v>
      </c>
      <c r="M24" s="60" t="s">
        <v>172</v>
      </c>
    </row>
    <row r="25" spans="1:17" x14ac:dyDescent="0.2">
      <c r="A25" s="47" t="s">
        <v>131</v>
      </c>
      <c r="B25" s="34"/>
      <c r="C25" s="68">
        <f>IF('Getting Started'!G9=TRUE,1,0)</f>
        <v>1</v>
      </c>
      <c r="E25" s="31" t="s">
        <v>131</v>
      </c>
      <c r="F25" s="23"/>
      <c r="G25" s="63">
        <f>IF(AND('Getting Started'!G11=TRUE,'V. Stab &amp; V-Tail'!B20&lt;90),1,0)</f>
        <v>0</v>
      </c>
      <c r="I25" s="61" t="s">
        <v>167</v>
      </c>
      <c r="J25" s="34"/>
      <c r="K25" s="63">
        <f>MAX(Fuselage!B9:B28)-MIN(Fuselage!B9:B28)</f>
        <v>67.5</v>
      </c>
      <c r="M25" s="47" t="s">
        <v>131</v>
      </c>
      <c r="N25" s="34"/>
      <c r="O25" s="68">
        <f>IF('Getting Started'!G10=TRUE,1,0)</f>
        <v>0</v>
      </c>
    </row>
    <row r="26" spans="1:17" x14ac:dyDescent="0.2">
      <c r="A26" s="32" t="s">
        <v>133</v>
      </c>
      <c r="B26" s="23"/>
      <c r="C26" s="67">
        <f>hstab_area*C25</f>
        <v>369.75</v>
      </c>
      <c r="E26" s="31" t="s">
        <v>181</v>
      </c>
      <c r="F26" s="23"/>
      <c r="G26" s="63">
        <f>vstab_area*G25</f>
        <v>0</v>
      </c>
      <c r="I26" s="62" t="s">
        <v>168</v>
      </c>
      <c r="J26" s="23"/>
      <c r="K26" s="63">
        <f>2*MAX(Fuselage!C9:C28)</f>
        <v>14.5</v>
      </c>
      <c r="M26" s="31" t="s">
        <v>133</v>
      </c>
      <c r="N26" s="23"/>
      <c r="O26" s="67">
        <f>canard_area*O25</f>
        <v>0</v>
      </c>
    </row>
    <row r="27" spans="1:17" ht="15.75" x14ac:dyDescent="0.3">
      <c r="A27" s="31" t="s">
        <v>147</v>
      </c>
      <c r="B27" s="23"/>
      <c r="C27" s="63">
        <f>((G13*G16+K13*K16+O13*O16)/(G13+K13+O13)-hstab_ac)*C25</f>
        <v>70</v>
      </c>
      <c r="E27" s="31" t="s">
        <v>179</v>
      </c>
      <c r="F27" s="23"/>
      <c r="G27" s="67">
        <f>vtail_harea*G25</f>
        <v>0</v>
      </c>
      <c r="I27" s="62" t="s">
        <v>169</v>
      </c>
      <c r="J27" s="23"/>
      <c r="K27" s="63">
        <f>fuse_area</f>
        <v>764.37499999999989</v>
      </c>
      <c r="M27" s="31" t="s">
        <v>162</v>
      </c>
      <c r="N27" s="23"/>
      <c r="O27" s="63">
        <f>(canard_ac-cgx)*O25</f>
        <v>0</v>
      </c>
    </row>
    <row r="28" spans="1:17" ht="15.75" x14ac:dyDescent="0.3">
      <c r="A28" s="52" t="s">
        <v>148</v>
      </c>
      <c r="B28" s="53"/>
      <c r="C28" s="63">
        <f>(trailing_edge-hstab_ac)*C25</f>
        <v>57.625</v>
      </c>
      <c r="E28" s="31" t="s">
        <v>180</v>
      </c>
      <c r="F28" s="23"/>
      <c r="G28" s="67">
        <f>vtail_varea*G25</f>
        <v>0</v>
      </c>
      <c r="I28" s="55" t="s">
        <v>174</v>
      </c>
      <c r="J28" s="56"/>
      <c r="K28" s="63">
        <f>fuse_dcmda</f>
        <v>0.12276407736475829</v>
      </c>
      <c r="M28" s="31" t="s">
        <v>140</v>
      </c>
      <c r="N28" s="23"/>
      <c r="O28" s="63">
        <f>canard_liftslope*O25</f>
        <v>0</v>
      </c>
      <c r="P28" s="6"/>
    </row>
    <row r="29" spans="1:17" ht="15.75" x14ac:dyDescent="0.3">
      <c r="A29" s="31" t="s">
        <v>149</v>
      </c>
      <c r="B29" s="23"/>
      <c r="C29" s="63">
        <f>(cgx-hstab_ac)*C25</f>
        <v>63.328139068007346</v>
      </c>
      <c r="E29" s="31" t="s">
        <v>159</v>
      </c>
      <c r="F29" s="23"/>
      <c r="G29" s="63">
        <f>(vtail_z-z_center)*G25</f>
        <v>0</v>
      </c>
      <c r="M29" s="55" t="s">
        <v>173</v>
      </c>
      <c r="N29" s="56"/>
      <c r="O29" s="63">
        <f>O27*canard_area/(wing_area*ref_MAC)</f>
        <v>0</v>
      </c>
    </row>
    <row r="30" spans="1:17" ht="15.75" x14ac:dyDescent="0.3">
      <c r="A30" s="52" t="s">
        <v>140</v>
      </c>
      <c r="B30" s="53"/>
      <c r="C30" s="63">
        <f>hstab_liftslope*C25</f>
        <v>4.2904556429602758</v>
      </c>
      <c r="E30" s="47" t="s">
        <v>160</v>
      </c>
      <c r="F30" s="34"/>
      <c r="G30" s="63">
        <f>(ref_AC-vstab_ac)*G25</f>
        <v>0</v>
      </c>
      <c r="I30" s="60" t="s">
        <v>170</v>
      </c>
      <c r="M30" s="31" t="s">
        <v>174</v>
      </c>
      <c r="N30" s="23"/>
      <c r="O30" s="67">
        <f>CLac*Vc</f>
        <v>0</v>
      </c>
    </row>
    <row r="31" spans="1:17" ht="15.75" x14ac:dyDescent="0.3">
      <c r="A31" s="31" t="s">
        <v>150</v>
      </c>
      <c r="B31" s="23"/>
      <c r="C31" s="63">
        <f>(1/ref_AR-1/(1+ref_AR^1.7))*C25</f>
        <v>0.10215051138613443</v>
      </c>
      <c r="E31" s="31" t="s">
        <v>161</v>
      </c>
      <c r="F31" s="23"/>
      <c r="G31" s="63">
        <f>(trailing_edge-vstab_ac)*G25</f>
        <v>0</v>
      </c>
      <c r="I31" s="31" t="s">
        <v>131</v>
      </c>
      <c r="J31" s="23"/>
      <c r="K31" s="63">
        <f>IF(AND('Getting Started'!G11=TRUE,'V. Stab &amp; V-Tail'!B20=90),1,0)</f>
        <v>1</v>
      </c>
    </row>
    <row r="32" spans="1:17" ht="15.75" x14ac:dyDescent="0.3">
      <c r="A32" s="52" t="s">
        <v>151</v>
      </c>
      <c r="B32" s="53"/>
      <c r="C32" s="63">
        <f>(10-3*ref_lam)/7*C25</f>
        <v>1</v>
      </c>
      <c r="E32" s="52" t="s">
        <v>162</v>
      </c>
      <c r="F32" s="53"/>
      <c r="G32" s="63">
        <f>(cgx-vstab_ac)*G25</f>
        <v>0</v>
      </c>
      <c r="I32" s="32" t="s">
        <v>182</v>
      </c>
      <c r="J32" s="23"/>
      <c r="K32" s="67">
        <f>'V. Stab &amp; V-Tail'!A20*K31</f>
        <v>1</v>
      </c>
      <c r="L32" s="25"/>
      <c r="M32" s="26">
        <v>1</v>
      </c>
      <c r="N32" s="26">
        <v>1</v>
      </c>
      <c r="O32" s="26">
        <v>2</v>
      </c>
      <c r="P32" s="26"/>
      <c r="Q32" s="26"/>
    </row>
    <row r="33" spans="1:17" ht="15.75" x14ac:dyDescent="0.3">
      <c r="A33" s="31" t="s">
        <v>152</v>
      </c>
      <c r="B33" s="23"/>
      <c r="C33" s="63">
        <f>IF(C27&lt;&gt;0,(1-hstab_z/ref_span)/(2/ref_span*C27)^(1/3)*C25,0)</f>
        <v>0.95841359186204966</v>
      </c>
      <c r="E33" s="31" t="s">
        <v>140</v>
      </c>
      <c r="F33" s="23"/>
      <c r="G33" s="63">
        <f>vtail_liftslope</f>
        <v>0</v>
      </c>
      <c r="H33" s="51"/>
      <c r="I33" s="1" t="s">
        <v>181</v>
      </c>
      <c r="J33" s="53"/>
      <c r="K33" s="67">
        <f>vstab_area*K31</f>
        <v>177.75</v>
      </c>
      <c r="L33" s="25"/>
      <c r="M33" s="27" t="s">
        <v>194</v>
      </c>
      <c r="N33" s="27" t="s">
        <v>196</v>
      </c>
      <c r="O33" s="27" t="s">
        <v>199</v>
      </c>
      <c r="P33" s="26"/>
      <c r="Q33" s="26"/>
    </row>
    <row r="34" spans="1:17" ht="15.75" x14ac:dyDescent="0.3">
      <c r="A34" s="52" t="s">
        <v>146</v>
      </c>
      <c r="B34" s="53"/>
      <c r="C34" s="63">
        <f>4.44*(C31*C32* C33*(COS(quarter_sweep*PI()/180))^0.5)^1.19</f>
        <v>0.27952924152438435</v>
      </c>
      <c r="E34" s="52" t="s">
        <v>163</v>
      </c>
      <c r="F34" s="53"/>
      <c r="G34" s="63">
        <f>(1/ref_AR-1/(1+ref_AR^1.7))*G25</f>
        <v>0</v>
      </c>
      <c r="I34" s="31" t="s">
        <v>162</v>
      </c>
      <c r="J34" s="23"/>
      <c r="K34" s="67">
        <f>(cgx-vstab_ac)*K31</f>
        <v>63.453139068007346</v>
      </c>
      <c r="L34" s="25"/>
      <c r="M34" s="27" t="s">
        <v>195</v>
      </c>
      <c r="N34" s="27" t="s">
        <v>197</v>
      </c>
      <c r="O34" s="27" t="s">
        <v>200</v>
      </c>
      <c r="P34" s="26"/>
      <c r="Q34" s="26"/>
    </row>
    <row r="35" spans="1:17" ht="15.75" x14ac:dyDescent="0.3">
      <c r="A35" s="31" t="s">
        <v>154</v>
      </c>
      <c r="B35" s="23"/>
      <c r="C35" s="63">
        <f>hstab_area*C29/(wing_area*ref_MAC)</f>
        <v>0.79087483133599623</v>
      </c>
      <c r="E35" s="31" t="s">
        <v>164</v>
      </c>
      <c r="F35" s="23"/>
      <c r="G35" s="63">
        <f>(10-3*ref_lam)/7*G25</f>
        <v>0</v>
      </c>
      <c r="I35" s="55" t="s">
        <v>171</v>
      </c>
      <c r="J35" s="56"/>
      <c r="K35" s="63">
        <f>vstab_area*K34/(wing_area*ref_span)</f>
        <v>5.0999108383806703E-2</v>
      </c>
      <c r="L35" s="25"/>
      <c r="M35" s="27" t="s">
        <v>190</v>
      </c>
      <c r="N35" s="27" t="s">
        <v>192</v>
      </c>
      <c r="O35" s="27" t="s">
        <v>201</v>
      </c>
      <c r="P35" s="26"/>
      <c r="Q35" s="26"/>
    </row>
    <row r="36" spans="1:17" ht="15.75" x14ac:dyDescent="0.3">
      <c r="A36" s="55" t="s">
        <v>153</v>
      </c>
      <c r="B36" s="56"/>
      <c r="C36" s="63">
        <f>IF(1-0.485/(C28/ref_MAC+0.3)&gt;0.6,1-0.485/(C28/ref_MAC+0.3),0.6)*C25</f>
        <v>0.87211346384338795</v>
      </c>
      <c r="E36" s="52" t="s">
        <v>165</v>
      </c>
      <c r="F36" s="53"/>
      <c r="G36" s="63">
        <f>IF(G30&lt;&gt;0,(1-G29/ref_span)/(2/ref_span*G30)^(1/3)*G25,0)</f>
        <v>0</v>
      </c>
      <c r="L36" s="25"/>
      <c r="M36" s="27" t="s">
        <v>188</v>
      </c>
      <c r="N36" s="27" t="s">
        <v>193</v>
      </c>
      <c r="O36" s="27" t="s">
        <v>202</v>
      </c>
      <c r="P36" s="26"/>
      <c r="Q36" s="26"/>
    </row>
    <row r="37" spans="1:17" ht="14.25" x14ac:dyDescent="0.2">
      <c r="A37" s="31" t="s">
        <v>174</v>
      </c>
      <c r="B37" s="23"/>
      <c r="C37" s="67">
        <f>-CLah*(1-dedah)*nh*Vh</f>
        <v>-2.1320653954917028</v>
      </c>
      <c r="E37" s="31" t="s">
        <v>146</v>
      </c>
      <c r="F37" s="23"/>
      <c r="G37" s="63">
        <f>4.44*(G34*G35*G36*(COS(quarter_sweep*PI()/180))^0.5)^1.19</f>
        <v>0</v>
      </c>
      <c r="L37" s="25"/>
      <c r="M37" s="27" t="s">
        <v>191</v>
      </c>
      <c r="N37" s="26">
        <v>2</v>
      </c>
      <c r="O37" s="27" t="s">
        <v>203</v>
      </c>
      <c r="P37" s="26"/>
      <c r="Q37" s="26"/>
    </row>
    <row r="38" spans="1:17" ht="15.75" x14ac:dyDescent="0.3">
      <c r="E38" s="52" t="s">
        <v>154</v>
      </c>
      <c r="F38" s="53"/>
      <c r="G38" s="63">
        <f>vtail_harea*G32/(wing_area*ref_MAC)</f>
        <v>0</v>
      </c>
      <c r="L38" s="25"/>
      <c r="M38" s="27" t="s">
        <v>189</v>
      </c>
      <c r="N38" s="26"/>
      <c r="O38" s="27" t="s">
        <v>204</v>
      </c>
      <c r="P38" s="26"/>
      <c r="Q38" s="26"/>
    </row>
    <row r="39" spans="1:17" ht="15.75" x14ac:dyDescent="0.3">
      <c r="E39" s="31" t="s">
        <v>166</v>
      </c>
      <c r="F39" s="23"/>
      <c r="G39" s="63">
        <f>IF(1-0.485/(G31/ref_MAC+0.3)&gt;0.6,1-0.485/(G31/ref_MAC+0.3),0.6)*G25</f>
        <v>0</v>
      </c>
      <c r="L39" s="25"/>
      <c r="M39" s="27">
        <f>M32</f>
        <v>1</v>
      </c>
      <c r="N39" s="27">
        <f>N32</f>
        <v>1</v>
      </c>
      <c r="O39" s="27">
        <f>N37</f>
        <v>2</v>
      </c>
      <c r="P39" s="27">
        <f>O32</f>
        <v>2</v>
      </c>
      <c r="Q39" s="26"/>
    </row>
    <row r="40" spans="1:17" ht="15.75" x14ac:dyDescent="0.3">
      <c r="E40" s="55" t="s">
        <v>156</v>
      </c>
      <c r="F40" s="56"/>
      <c r="G40" s="63">
        <f>vtail_varea*G32/(wing_area*ref_span)</f>
        <v>0</v>
      </c>
      <c r="M40" s="27">
        <f>-ref_span*13/24</f>
        <v>-66.760416666666671</v>
      </c>
      <c r="N40" s="26">
        <v>0</v>
      </c>
      <c r="O40" s="27">
        <f>-ref_span/2</f>
        <v>-61.625</v>
      </c>
      <c r="P40" s="69">
        <f>N40-cgx</f>
        <v>10.796860931992653</v>
      </c>
      <c r="Q40" s="27">
        <f>-P40/2</f>
        <v>-5.3984304659963263</v>
      </c>
    </row>
    <row r="41" spans="1:17" ht="14.25" x14ac:dyDescent="0.2">
      <c r="E41" s="31" t="s">
        <v>174</v>
      </c>
      <c r="F41" s="23"/>
      <c r="G41" s="67">
        <f>-CLav*(1-dedav)*nv*Vv</f>
        <v>0</v>
      </c>
      <c r="M41" s="27">
        <f>ref_span*13/24</f>
        <v>66.760416666666671</v>
      </c>
      <c r="N41" s="26">
        <v>0</v>
      </c>
      <c r="O41" s="27">
        <f>ref_span/2</f>
        <v>61.625</v>
      </c>
      <c r="P41" s="69">
        <f>N41-C6</f>
        <v>10.979183222256475</v>
      </c>
      <c r="Q41" s="27">
        <f>-P41/2</f>
        <v>-5.4895916111282377</v>
      </c>
    </row>
  </sheetData>
  <sheetProtection algorithmName="SHA-512" hashValue="BW+ubrAkbGEl32LMk7Wfhw9fV5nRqVt8QtcaZuW+yFU6RxX45+nSCqaFF050mclG0GjUqpygx5P3Gi6+HgrIrw==" saltValue="nwdgpO3I650yStSbLNivbg==" spinCount="100000" sheet="1" objects="1" scenarios="1" formatCells="0"/>
  <mergeCells count="6">
    <mergeCell ref="G8:G9"/>
    <mergeCell ref="E8:F9"/>
    <mergeCell ref="N4:P6"/>
    <mergeCell ref="J4:L6"/>
    <mergeCell ref="E4:F6"/>
    <mergeCell ref="E7:H7"/>
  </mergeCells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34" r:id="rId4" name="List Box 42">
              <controlPr defaultSize="0" autoLine="0" autoPict="0">
                <anchor moveWithCells="1">
                  <from>
                    <xdr:col>6</xdr:col>
                    <xdr:colOff>19050</xdr:colOff>
                    <xdr:row>4</xdr:row>
                    <xdr:rowOff>19050</xdr:rowOff>
                  </from>
                  <to>
                    <xdr:col>6</xdr:col>
                    <xdr:colOff>590550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5" name="List Box 43">
              <controlPr defaultSize="0" autoLine="0" autoPict="0">
                <anchor moveWithCells="1">
                  <from>
                    <xdr:col>7</xdr:col>
                    <xdr:colOff>19050</xdr:colOff>
                    <xdr:row>4</xdr:row>
                    <xdr:rowOff>19050</xdr:rowOff>
                  </from>
                  <to>
                    <xdr:col>7</xdr:col>
                    <xdr:colOff>590550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6" name="List Box 44">
              <controlPr defaultSize="0" autoLine="0" autoPict="0">
                <anchor moveWithCells="1">
                  <from>
                    <xdr:col>5</xdr:col>
                    <xdr:colOff>523875</xdr:colOff>
                    <xdr:row>7</xdr:row>
                    <xdr:rowOff>28575</xdr:rowOff>
                  </from>
                  <to>
                    <xdr:col>6</xdr:col>
                    <xdr:colOff>485775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7" name="List Box 45">
              <controlPr defaultSize="0" autoLine="0" autoPict="0">
                <anchor moveWithCells="1">
                  <from>
                    <xdr:col>7</xdr:col>
                    <xdr:colOff>19050</xdr:colOff>
                    <xdr:row>7</xdr:row>
                    <xdr:rowOff>28575</xdr:rowOff>
                  </from>
                  <to>
                    <xdr:col>7</xdr:col>
                    <xdr:colOff>590550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8" name="Button 46">
              <controlPr defaultSize="0" print="0" autoFill="0" autoPict="0" macro="[0]!click_button">
                <anchor moveWithCells="1" sizeWithCells="1">
                  <from>
                    <xdr:col>9</xdr:col>
                    <xdr:colOff>28575</xdr:colOff>
                    <xdr:row>6</xdr:row>
                    <xdr:rowOff>19050</xdr:rowOff>
                  </from>
                  <to>
                    <xdr:col>11</xdr:col>
                    <xdr:colOff>581025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9" name="Button 47">
              <controlPr defaultSize="0" print="0" autoFill="0" autoPict="0" macro="[0]!AVLEditor.AVLEditor">
                <anchor moveWithCells="1" sizeWithCells="1">
                  <from>
                    <xdr:col>13</xdr:col>
                    <xdr:colOff>28575</xdr:colOff>
                    <xdr:row>6</xdr:row>
                    <xdr:rowOff>19050</xdr:rowOff>
                  </from>
                  <to>
                    <xdr:col>15</xdr:col>
                    <xdr:colOff>581025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23"/>
  <sheetViews>
    <sheetView showGridLines="0" workbookViewId="0">
      <selection activeCell="H17" sqref="H17"/>
    </sheetView>
  </sheetViews>
  <sheetFormatPr defaultRowHeight="12.75" x14ac:dyDescent="0.2"/>
  <sheetData>
    <row r="1" spans="1:2" ht="15" x14ac:dyDescent="0.25">
      <c r="A1" s="2" t="s">
        <v>228</v>
      </c>
    </row>
    <row r="2" spans="1:2" x14ac:dyDescent="0.2">
      <c r="A2" t="s">
        <v>230</v>
      </c>
    </row>
    <row r="3" spans="1:2" x14ac:dyDescent="0.2">
      <c r="A3" t="s">
        <v>229</v>
      </c>
    </row>
    <row r="5" spans="1:2" x14ac:dyDescent="0.2">
      <c r="A5" s="82" t="s">
        <v>219</v>
      </c>
    </row>
    <row r="6" spans="1:2" x14ac:dyDescent="0.2">
      <c r="B6" s="83" t="s">
        <v>220</v>
      </c>
    </row>
    <row r="7" spans="1:2" x14ac:dyDescent="0.2">
      <c r="B7" t="s">
        <v>221</v>
      </c>
    </row>
    <row r="9" spans="1:2" x14ac:dyDescent="0.2">
      <c r="A9" s="82" t="s">
        <v>222</v>
      </c>
    </row>
    <row r="10" spans="1:2" x14ac:dyDescent="0.2">
      <c r="B10" t="s">
        <v>223</v>
      </c>
    </row>
    <row r="12" spans="1:2" x14ac:dyDescent="0.2">
      <c r="A12" s="82" t="s">
        <v>224</v>
      </c>
    </row>
    <row r="13" spans="1:2" x14ac:dyDescent="0.2">
      <c r="B13" t="s">
        <v>225</v>
      </c>
    </row>
    <row r="14" spans="1:2" x14ac:dyDescent="0.2">
      <c r="B14" t="s">
        <v>226</v>
      </c>
    </row>
    <row r="16" spans="1:2" x14ac:dyDescent="0.2">
      <c r="A16" s="82" t="s">
        <v>227</v>
      </c>
    </row>
    <row r="19" spans="1:1" ht="15" x14ac:dyDescent="0.25">
      <c r="A19" s="84" t="s">
        <v>231</v>
      </c>
    </row>
    <row r="20" spans="1:1" x14ac:dyDescent="0.2">
      <c r="A20" t="s">
        <v>232</v>
      </c>
    </row>
    <row r="21" spans="1:1" x14ac:dyDescent="0.2">
      <c r="A21" t="s">
        <v>233</v>
      </c>
    </row>
    <row r="22" spans="1:1" x14ac:dyDescent="0.2">
      <c r="A22" t="s">
        <v>234</v>
      </c>
    </row>
    <row r="23" spans="1:1" x14ac:dyDescent="0.2">
      <c r="A23" t="s">
        <v>235</v>
      </c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121</vt:i4>
      </vt:variant>
    </vt:vector>
  </HeadingPairs>
  <TitlesOfParts>
    <vt:vector size="131" baseType="lpstr">
      <vt:lpstr>Getting Started</vt:lpstr>
      <vt:lpstr>Wings</vt:lpstr>
      <vt:lpstr>H. Stab &amp; Canard</vt:lpstr>
      <vt:lpstr>V. Stab &amp; V-Tail</vt:lpstr>
      <vt:lpstr>Fuselage</vt:lpstr>
      <vt:lpstr>Weights</vt:lpstr>
      <vt:lpstr>Point Masses</vt:lpstr>
      <vt:lpstr>Results</vt:lpstr>
      <vt:lpstr>References</vt:lpstr>
      <vt:lpstr>Top View</vt:lpstr>
      <vt:lpstr>_xac1</vt:lpstr>
      <vt:lpstr>_xac2</vt:lpstr>
      <vt:lpstr>_xac3</vt:lpstr>
      <vt:lpstr>auw</vt:lpstr>
      <vt:lpstr>canard_ac</vt:lpstr>
      <vt:lpstr>canard_area</vt:lpstr>
      <vt:lpstr>canard_cx</vt:lpstr>
      <vt:lpstr>canard_liftslope</vt:lpstr>
      <vt:lpstr>canard_w</vt:lpstr>
      <vt:lpstr>canard_x</vt:lpstr>
      <vt:lpstr>canard_y</vt:lpstr>
      <vt:lpstr>cgx</vt:lpstr>
      <vt:lpstr>CLac</vt:lpstr>
      <vt:lpstr>CLah</vt:lpstr>
      <vt:lpstr>CLav</vt:lpstr>
      <vt:lpstr>CLaw1</vt:lpstr>
      <vt:lpstr>CLaw2</vt:lpstr>
      <vt:lpstr>CLaw3</vt:lpstr>
      <vt:lpstr>Cmac</vt:lpstr>
      <vt:lpstr>Cmaf</vt:lpstr>
      <vt:lpstr>Cmah</vt:lpstr>
      <vt:lpstr>Cmav</vt:lpstr>
      <vt:lpstr>Cmaw1</vt:lpstr>
      <vt:lpstr>Cmaw2</vt:lpstr>
      <vt:lpstr>Cmaw3</vt:lpstr>
      <vt:lpstr>dedah</vt:lpstr>
      <vt:lpstr>dedav</vt:lpstr>
      <vt:lpstr>empty_weight</vt:lpstr>
      <vt:lpstr>empty_x</vt:lpstr>
      <vt:lpstr>empty_y</vt:lpstr>
      <vt:lpstr>fuse_area</vt:lpstr>
      <vt:lpstr>fuse_cx</vt:lpstr>
      <vt:lpstr>fuse_cy</vt:lpstr>
      <vt:lpstr>fuse_dcmda</vt:lpstr>
      <vt:lpstr>fuse_w</vt:lpstr>
      <vt:lpstr>fuse_x</vt:lpstr>
      <vt:lpstr>fuse_y</vt:lpstr>
      <vt:lpstr>hstab_ac</vt:lpstr>
      <vt:lpstr>hstab_area</vt:lpstr>
      <vt:lpstr>hstab_cx</vt:lpstr>
      <vt:lpstr>hstab_liftslope</vt:lpstr>
      <vt:lpstr>hstab_w</vt:lpstr>
      <vt:lpstr>hstab_x</vt:lpstr>
      <vt:lpstr>hstab_y</vt:lpstr>
      <vt:lpstr>hstab_z</vt:lpstr>
      <vt:lpstr>neutral_point</vt:lpstr>
      <vt:lpstr>nh</vt:lpstr>
      <vt:lpstr>nv</vt:lpstr>
      <vt:lpstr>point_weight</vt:lpstr>
      <vt:lpstr>point_x</vt:lpstr>
      <vt:lpstr>point_y</vt:lpstr>
      <vt:lpstr>quarter_sweep</vt:lpstr>
      <vt:lpstr>ref_AC</vt:lpstr>
      <vt:lpstr>ref_AR</vt:lpstr>
      <vt:lpstr>ref_lam</vt:lpstr>
      <vt:lpstr>ref_MAC</vt:lpstr>
      <vt:lpstr>ref_span</vt:lpstr>
      <vt:lpstr>static_margin</vt:lpstr>
      <vt:lpstr>trailing_edge</vt:lpstr>
      <vt:lpstr>Vc</vt:lpstr>
      <vt:lpstr>Vh</vt:lpstr>
      <vt:lpstr>vstab_ac</vt:lpstr>
      <vt:lpstr>vstab_area</vt:lpstr>
      <vt:lpstr>vstab_cx</vt:lpstr>
      <vt:lpstr>vstab_w</vt:lpstr>
      <vt:lpstr>vstab_x</vt:lpstr>
      <vt:lpstr>vstab_y</vt:lpstr>
      <vt:lpstr>vtail_harea</vt:lpstr>
      <vt:lpstr>vtail_liftslope</vt:lpstr>
      <vt:lpstr>vtail_varea</vt:lpstr>
      <vt:lpstr>vtail_z</vt:lpstr>
      <vt:lpstr>Vv</vt:lpstr>
      <vt:lpstr>wing_area</vt:lpstr>
      <vt:lpstr>wing1_acx</vt:lpstr>
      <vt:lpstr>wing1_ar</vt:lpstr>
      <vt:lpstr>wing1_area</vt:lpstr>
      <vt:lpstr>wing1_cx</vt:lpstr>
      <vt:lpstr>wing1_cy</vt:lpstr>
      <vt:lpstr>wing1_halfsweep</vt:lpstr>
      <vt:lpstr>wing1_lam</vt:lpstr>
      <vt:lpstr>wing1_liftslope</vt:lpstr>
      <vt:lpstr>wing1_mac</vt:lpstr>
      <vt:lpstr>wing1_quartersweep</vt:lpstr>
      <vt:lpstr>wing1_rte</vt:lpstr>
      <vt:lpstr>wing1_span</vt:lpstr>
      <vt:lpstr>wing1_w</vt:lpstr>
      <vt:lpstr>wing1_x</vt:lpstr>
      <vt:lpstr>wing1_y</vt:lpstr>
      <vt:lpstr>wing2_acx</vt:lpstr>
      <vt:lpstr>wing2_ar</vt:lpstr>
      <vt:lpstr>wing2_area</vt:lpstr>
      <vt:lpstr>wing2_cx</vt:lpstr>
      <vt:lpstr>wing2_cy</vt:lpstr>
      <vt:lpstr>wing2_halfsweep</vt:lpstr>
      <vt:lpstr>wing2_height</vt:lpstr>
      <vt:lpstr>wing2_lam</vt:lpstr>
      <vt:lpstr>wing2_liftslope</vt:lpstr>
      <vt:lpstr>wing2_mac</vt:lpstr>
      <vt:lpstr>wing2_quartersweep</vt:lpstr>
      <vt:lpstr>wing2_rte</vt:lpstr>
      <vt:lpstr>wing2_span</vt:lpstr>
      <vt:lpstr>wing2_w</vt:lpstr>
      <vt:lpstr>wing2_x</vt:lpstr>
      <vt:lpstr>wing2_y</vt:lpstr>
      <vt:lpstr>wing3_acx</vt:lpstr>
      <vt:lpstr>wing3_ar</vt:lpstr>
      <vt:lpstr>wing3_area</vt:lpstr>
      <vt:lpstr>wing3_cx</vt:lpstr>
      <vt:lpstr>wing3_cy</vt:lpstr>
      <vt:lpstr>wing3_halfsweep</vt:lpstr>
      <vt:lpstr>wing3_height</vt:lpstr>
      <vt:lpstr>wing3_lam</vt:lpstr>
      <vt:lpstr>wing3_liftslope</vt:lpstr>
      <vt:lpstr>wing3_mac</vt:lpstr>
      <vt:lpstr>wing3_quartersweep</vt:lpstr>
      <vt:lpstr>wing3_rte</vt:lpstr>
      <vt:lpstr>wing3_span</vt:lpstr>
      <vt:lpstr>wing3_w</vt:lpstr>
      <vt:lpstr>wing3_x</vt:lpstr>
      <vt:lpstr>wing3_y</vt:lpstr>
      <vt:lpstr>z_center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Prosser</dc:creator>
  <cp:lastModifiedBy>melabuser</cp:lastModifiedBy>
  <dcterms:created xsi:type="dcterms:W3CDTF">2009-12-09T00:59:25Z</dcterms:created>
  <dcterms:modified xsi:type="dcterms:W3CDTF">2020-02-19T05:27:27Z</dcterms:modified>
</cp:coreProperties>
</file>